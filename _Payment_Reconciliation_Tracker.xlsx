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Transactions" sheetId="1" state="visible" r:id="rId3"/>
    <sheet name="Expected Payments" sheetId="2" state="visible" r:id="rId4"/>
    <sheet name="Reconciliation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<sst xmlns="http://schemas.openxmlformats.org/spreadsheetml/2006/main" count="689" uniqueCount="336">
  <si>
    <t xml:space="preserve">Veriton Bank — Incoming Payment Register (March 2025)</t>
  </si>
  <si>
    <t xml:space="preserve">Txn ID</t>
  </si>
  <si>
    <t xml:space="preserve">Date</t>
  </si>
  <si>
    <t xml:space="preserve">Customer Name</t>
  </si>
  <si>
    <t xml:space="preserve">Account No.</t>
  </si>
  <si>
    <t xml:space="preserve">Payment Type</t>
  </si>
  <si>
    <t xml:space="preserve">Amount (GBP)</t>
  </si>
  <si>
    <t xml:space="preserve">Reference No.</t>
  </si>
  <si>
    <t xml:space="preserve">Status</t>
  </si>
  <si>
    <t xml:space="preserve">TXN-1000</t>
  </si>
  <si>
    <t xml:space="preserve">21-Mar-2025</t>
  </si>
  <si>
    <t xml:space="preserve">Raj Patel</t>
  </si>
  <si>
    <t xml:space="preserve">VRT126225</t>
  </si>
  <si>
    <t xml:space="preserve">BACS</t>
  </si>
  <si>
    <t xml:space="preserve">REF-28289</t>
  </si>
  <si>
    <t xml:space="preserve">Pending</t>
  </si>
  <si>
    <t xml:space="preserve">TXN-1001</t>
  </si>
  <si>
    <t xml:space="preserve">04-Mar-2025</t>
  </si>
  <si>
    <t xml:space="preserve">Ben Williams</t>
  </si>
  <si>
    <t xml:space="preserve">VRT876646</t>
  </si>
  <si>
    <t xml:space="preserve">Cheque</t>
  </si>
  <si>
    <t xml:space="preserve">REF-65302</t>
  </si>
  <si>
    <t xml:space="preserve">Matched</t>
  </si>
  <si>
    <t xml:space="preserve">TXN-1002</t>
  </si>
  <si>
    <t xml:space="preserve">01-Mar-2025</t>
  </si>
  <si>
    <t xml:space="preserve">Fatima Al-Hassan</t>
  </si>
  <si>
    <t xml:space="preserve">VRT329258</t>
  </si>
  <si>
    <t xml:space="preserve">CHAPS</t>
  </si>
  <si>
    <t xml:space="preserve">REF-13478</t>
  </si>
  <si>
    <t xml:space="preserve">Unmatched</t>
  </si>
  <si>
    <t xml:space="preserve">TXN-1003</t>
  </si>
  <si>
    <t xml:space="preserve">07-Mar-2025</t>
  </si>
  <si>
    <t xml:space="preserve">Zara Ahmed</t>
  </si>
  <si>
    <t xml:space="preserve">VRT781453</t>
  </si>
  <si>
    <t xml:space="preserve">REF-68878</t>
  </si>
  <si>
    <t xml:space="preserve">TXN-1004</t>
  </si>
  <si>
    <t xml:space="preserve">09-Mar-2025</t>
  </si>
  <si>
    <t xml:space="preserve">Priya Sharma</t>
  </si>
  <si>
    <t xml:space="preserve">VRT895667</t>
  </si>
  <si>
    <t xml:space="preserve">REF-54597</t>
  </si>
  <si>
    <t xml:space="preserve">TXN-1005</t>
  </si>
  <si>
    <t xml:space="preserve">05-Mar-2025</t>
  </si>
  <si>
    <t xml:space="preserve">Emma Clarke</t>
  </si>
  <si>
    <t xml:space="preserve">VRT900581</t>
  </si>
  <si>
    <t xml:space="preserve">REF-59797</t>
  </si>
  <si>
    <t xml:space="preserve">TXN-1006</t>
  </si>
  <si>
    <t xml:space="preserve">12-Mar-2025</t>
  </si>
  <si>
    <t xml:space="preserve">Carlos Romero</t>
  </si>
  <si>
    <t xml:space="preserve">VRT733052</t>
  </si>
  <si>
    <t xml:space="preserve">REF-70217</t>
  </si>
  <si>
    <t xml:space="preserve">TXN-1007</t>
  </si>
  <si>
    <t xml:space="preserve">Aisha Nwosu</t>
  </si>
  <si>
    <t xml:space="preserve">VRT182627</t>
  </si>
  <si>
    <t xml:space="preserve">REF-92397</t>
  </si>
  <si>
    <t xml:space="preserve">TXN-1008</t>
  </si>
  <si>
    <t xml:space="preserve">28-Mar-2025</t>
  </si>
  <si>
    <t xml:space="preserve">VRT705397</t>
  </si>
  <si>
    <t xml:space="preserve">REF-16006</t>
  </si>
  <si>
    <t xml:space="preserve">TXN-1009</t>
  </si>
  <si>
    <t xml:space="preserve">08-Mar-2025</t>
  </si>
  <si>
    <t xml:space="preserve">Nina Patel</t>
  </si>
  <si>
    <t xml:space="preserve">VRT403445</t>
  </si>
  <si>
    <t xml:space="preserve">Online Transfer</t>
  </si>
  <si>
    <t xml:space="preserve">REF-23238</t>
  </si>
  <si>
    <t xml:space="preserve">TXN-1010</t>
  </si>
  <si>
    <t xml:space="preserve">Layla Hassan</t>
  </si>
  <si>
    <t xml:space="preserve">VRT766563</t>
  </si>
  <si>
    <t xml:space="preserve">REF-56566</t>
  </si>
  <si>
    <t xml:space="preserve">TXN-1011</t>
  </si>
  <si>
    <t xml:space="preserve">22-Mar-2025</t>
  </si>
  <si>
    <t xml:space="preserve">Ananya Singh</t>
  </si>
  <si>
    <t xml:space="preserve">VRT835911</t>
  </si>
  <si>
    <t xml:space="preserve">REF-32431</t>
  </si>
  <si>
    <t xml:space="preserve">TXN-1012</t>
  </si>
  <si>
    <t xml:space="preserve">24-Mar-2025</t>
  </si>
  <si>
    <t xml:space="preserve">David Kim</t>
  </si>
  <si>
    <t xml:space="preserve">VRT271339</t>
  </si>
  <si>
    <t xml:space="preserve">Faster Payment</t>
  </si>
  <si>
    <t xml:space="preserve">REF-93886</t>
  </si>
  <si>
    <t xml:space="preserve">TXN-1013</t>
  </si>
  <si>
    <t xml:space="preserve">18-Mar-2025</t>
  </si>
  <si>
    <t xml:space="preserve">VRT817870</t>
  </si>
  <si>
    <t xml:space="preserve">REF-17331</t>
  </si>
  <si>
    <t xml:space="preserve">TXN-1014</t>
  </si>
  <si>
    <t xml:space="preserve">27-Mar-2025</t>
  </si>
  <si>
    <t xml:space="preserve">James O'Brien</t>
  </si>
  <si>
    <t xml:space="preserve">VRT944151</t>
  </si>
  <si>
    <t xml:space="preserve">REF-18675</t>
  </si>
  <si>
    <t xml:space="preserve">TXN-1015</t>
  </si>
  <si>
    <t xml:space="preserve">19-Mar-2025</t>
  </si>
  <si>
    <t xml:space="preserve">VRT429963</t>
  </si>
  <si>
    <t xml:space="preserve">REF-61856</t>
  </si>
  <si>
    <t xml:space="preserve">TXN-1016</t>
  </si>
  <si>
    <t xml:space="preserve">15-Mar-2025</t>
  </si>
  <si>
    <t xml:space="preserve">Sophie Turner</t>
  </si>
  <si>
    <t xml:space="preserve">VRT377746</t>
  </si>
  <si>
    <t xml:space="preserve">REF-83579</t>
  </si>
  <si>
    <t xml:space="preserve">TXN-1017</t>
  </si>
  <si>
    <t xml:space="preserve">Luke Johnson</t>
  </si>
  <si>
    <t xml:space="preserve">VRT712982</t>
  </si>
  <si>
    <t xml:space="preserve">REF-62350</t>
  </si>
  <si>
    <t xml:space="preserve">TXN-1018</t>
  </si>
  <si>
    <t xml:space="preserve">VRT634277</t>
  </si>
  <si>
    <t xml:space="preserve">REF-16175</t>
  </si>
  <si>
    <t xml:space="preserve">TXN-1019</t>
  </si>
  <si>
    <t xml:space="preserve">Harpreet Kaur</t>
  </si>
  <si>
    <t xml:space="preserve">VRT267753</t>
  </si>
  <si>
    <t xml:space="preserve">REF-60432</t>
  </si>
  <si>
    <t xml:space="preserve">TXN-1020</t>
  </si>
  <si>
    <t xml:space="preserve">20-Mar-2025</t>
  </si>
  <si>
    <t xml:space="preserve">VRT654816</t>
  </si>
  <si>
    <t xml:space="preserve">REF-11504</t>
  </si>
  <si>
    <t xml:space="preserve">TXN-1021</t>
  </si>
  <si>
    <t xml:space="preserve">VRT814825</t>
  </si>
  <si>
    <t xml:space="preserve">REF-94012</t>
  </si>
  <si>
    <t xml:space="preserve">TXN-1022</t>
  </si>
  <si>
    <t xml:space="preserve">Robert Hughes</t>
  </si>
  <si>
    <t xml:space="preserve">VRT555884</t>
  </si>
  <si>
    <t xml:space="preserve">REF-44522</t>
  </si>
  <si>
    <t xml:space="preserve">TXN-1023</t>
  </si>
  <si>
    <t xml:space="preserve">25-Mar-2025</t>
  </si>
  <si>
    <t xml:space="preserve">Mohammed Ali</t>
  </si>
  <si>
    <t xml:space="preserve">VRT632342</t>
  </si>
  <si>
    <t xml:space="preserve">REF-49117</t>
  </si>
  <si>
    <t xml:space="preserve">TXN-1024</t>
  </si>
  <si>
    <t xml:space="preserve">17-Mar-2025</t>
  </si>
  <si>
    <t xml:space="preserve">Leo Müller</t>
  </si>
  <si>
    <t xml:space="preserve">VRT308573</t>
  </si>
  <si>
    <t xml:space="preserve">REF-31174</t>
  </si>
  <si>
    <t xml:space="preserve">TXN-1025</t>
  </si>
  <si>
    <t xml:space="preserve">Nadia Petrov</t>
  </si>
  <si>
    <t xml:space="preserve">VRT100599</t>
  </si>
  <si>
    <t xml:space="preserve">REF-12552</t>
  </si>
  <si>
    <t xml:space="preserve">TXN-1026</t>
  </si>
  <si>
    <t xml:space="preserve">VRT351083</t>
  </si>
  <si>
    <t xml:space="preserve">REF-84364</t>
  </si>
  <si>
    <t xml:space="preserve">TXN-1027</t>
  </si>
  <si>
    <t xml:space="preserve">03-Mar-2025</t>
  </si>
  <si>
    <t xml:space="preserve">VRT609597</t>
  </si>
  <si>
    <t xml:space="preserve">REF-79822</t>
  </si>
  <si>
    <t xml:space="preserve">TXN-1028</t>
  </si>
  <si>
    <t xml:space="preserve">VRT598369</t>
  </si>
  <si>
    <t xml:space="preserve">REF-79163</t>
  </si>
  <si>
    <t xml:space="preserve">TXN-1029</t>
  </si>
  <si>
    <t xml:space="preserve">14-Mar-2025</t>
  </si>
  <si>
    <t xml:space="preserve">VRT665492</t>
  </si>
  <si>
    <t xml:space="preserve">REF-62296</t>
  </si>
  <si>
    <t xml:space="preserve">TXN-1030</t>
  </si>
  <si>
    <t xml:space="preserve">VRT559381</t>
  </si>
  <si>
    <t xml:space="preserve">REF-42493</t>
  </si>
  <si>
    <t xml:space="preserve">TXN-1031</t>
  </si>
  <si>
    <t xml:space="preserve">Mei Lin</t>
  </si>
  <si>
    <t xml:space="preserve">VRT122056</t>
  </si>
  <si>
    <t xml:space="preserve">REF-87128</t>
  </si>
  <si>
    <t xml:space="preserve">TXN-1032</t>
  </si>
  <si>
    <t xml:space="preserve">VRT842225</t>
  </si>
  <si>
    <t xml:space="preserve">REF-14117</t>
  </si>
  <si>
    <t xml:space="preserve">TXN-1033</t>
  </si>
  <si>
    <t xml:space="preserve">VRT349565</t>
  </si>
  <si>
    <t xml:space="preserve">REF-38080</t>
  </si>
  <si>
    <t xml:space="preserve">TXN-1034</t>
  </si>
  <si>
    <t xml:space="preserve">VRT698782</t>
  </si>
  <si>
    <t xml:space="preserve">REF-71993</t>
  </si>
  <si>
    <t xml:space="preserve">TXN-1035</t>
  </si>
  <si>
    <t xml:space="preserve">VRT201639</t>
  </si>
  <si>
    <t xml:space="preserve">REF-63883</t>
  </si>
  <si>
    <t xml:space="preserve">TXN-1036</t>
  </si>
  <si>
    <t xml:space="preserve">VRT156802</t>
  </si>
  <si>
    <t xml:space="preserve">REF-54473</t>
  </si>
  <si>
    <t xml:space="preserve">TXN-1037</t>
  </si>
  <si>
    <t xml:space="preserve">VRT299448</t>
  </si>
  <si>
    <t xml:space="preserve">REF-65296</t>
  </si>
  <si>
    <t xml:space="preserve">TXN-1038</t>
  </si>
  <si>
    <t xml:space="preserve">VRT361941</t>
  </si>
  <si>
    <t xml:space="preserve">REF-82132</t>
  </si>
  <si>
    <t xml:space="preserve">TXN-1039</t>
  </si>
  <si>
    <t xml:space="preserve">02-Mar-2025</t>
  </si>
  <si>
    <t xml:space="preserve">VRT666847</t>
  </si>
  <si>
    <t xml:space="preserve">REF-40982</t>
  </si>
  <si>
    <t xml:space="preserve">TXN-1040</t>
  </si>
  <si>
    <t xml:space="preserve">Tom Fletcher</t>
  </si>
  <si>
    <t xml:space="preserve">VRT604740</t>
  </si>
  <si>
    <t xml:space="preserve">REF-17685</t>
  </si>
  <si>
    <t xml:space="preserve">TXN-1041</t>
  </si>
  <si>
    <t xml:space="preserve">13-Mar-2025</t>
  </si>
  <si>
    <t xml:space="preserve">VRT509386</t>
  </si>
  <si>
    <t xml:space="preserve">REF-69638</t>
  </si>
  <si>
    <t xml:space="preserve">TXN-1042</t>
  </si>
  <si>
    <t xml:space="preserve">VRT865990</t>
  </si>
  <si>
    <t xml:space="preserve">REF-73788</t>
  </si>
  <si>
    <t xml:space="preserve">TXN-1043</t>
  </si>
  <si>
    <t xml:space="preserve">VRT328275</t>
  </si>
  <si>
    <t xml:space="preserve">REF-81066</t>
  </si>
  <si>
    <t xml:space="preserve">TXN-1044</t>
  </si>
  <si>
    <t xml:space="preserve">VRT159942</t>
  </si>
  <si>
    <t xml:space="preserve">REF-75909</t>
  </si>
  <si>
    <t xml:space="preserve">TXN-1045</t>
  </si>
  <si>
    <t xml:space="preserve">06-Mar-2025</t>
  </si>
  <si>
    <t xml:space="preserve">VRT632496</t>
  </si>
  <si>
    <t xml:space="preserve">REF-18981</t>
  </si>
  <si>
    <t xml:space="preserve">TXN-1046</t>
  </si>
  <si>
    <t xml:space="preserve">VRT346629</t>
  </si>
  <si>
    <t xml:space="preserve">REF-84668</t>
  </si>
  <si>
    <t xml:space="preserve">TXN-1047</t>
  </si>
  <si>
    <t xml:space="preserve">VRT141672</t>
  </si>
  <si>
    <t xml:space="preserve">REF-96163</t>
  </si>
  <si>
    <t xml:space="preserve">TXN-1048</t>
  </si>
  <si>
    <t xml:space="preserve">VRT431737</t>
  </si>
  <si>
    <t xml:space="preserve">REF-51180</t>
  </si>
  <si>
    <t xml:space="preserve">TXN-1049</t>
  </si>
  <si>
    <t xml:space="preserve">VRT237235</t>
  </si>
  <si>
    <t xml:space="preserve">REF-19508</t>
  </si>
  <si>
    <t xml:space="preserve">Veriton Bank — Expected Incoming Payments Ledger (March 2025)</t>
  </si>
  <si>
    <t xml:space="preserve">Expected ID</t>
  </si>
  <si>
    <t xml:space="preserve">Expected Amount (GBP)</t>
  </si>
  <si>
    <t xml:space="preserve">Due Date</t>
  </si>
  <si>
    <t xml:space="preserve">Received?</t>
  </si>
  <si>
    <t xml:space="preserve">Days Overdue</t>
  </si>
  <si>
    <t xml:space="preserve">EXP-200</t>
  </si>
  <si>
    <t xml:space="preserve">VRT782554</t>
  </si>
  <si>
    <t xml:space="preserve">Yes</t>
  </si>
  <si>
    <t xml:space="preserve">EXP-201</t>
  </si>
  <si>
    <t xml:space="preserve">Grace Wong</t>
  </si>
  <si>
    <t xml:space="preserve">VRT160816</t>
  </si>
  <si>
    <t xml:space="preserve">EXP-202</t>
  </si>
  <si>
    <t xml:space="preserve">Oliver Grant</t>
  </si>
  <si>
    <t xml:space="preserve">VRT538485</t>
  </si>
  <si>
    <t xml:space="preserve">EXP-203</t>
  </si>
  <si>
    <t xml:space="preserve">VRT229815</t>
  </si>
  <si>
    <t xml:space="preserve">No</t>
  </si>
  <si>
    <t xml:space="preserve">EXP-204</t>
  </si>
  <si>
    <t xml:space="preserve">VRT515949</t>
  </si>
  <si>
    <t xml:space="preserve">EXP-205</t>
  </si>
  <si>
    <t xml:space="preserve">VRT403677</t>
  </si>
  <si>
    <t xml:space="preserve">EXP-206</t>
  </si>
  <si>
    <t xml:space="preserve">VRT687472</t>
  </si>
  <si>
    <t xml:space="preserve">EXP-207</t>
  </si>
  <si>
    <t xml:space="preserve">VRT769949</t>
  </si>
  <si>
    <t xml:space="preserve">EXP-208</t>
  </si>
  <si>
    <t xml:space="preserve">VRT749078</t>
  </si>
  <si>
    <t xml:space="preserve">EXP-209</t>
  </si>
  <si>
    <t xml:space="preserve">VRT588218</t>
  </si>
  <si>
    <t xml:space="preserve">EXP-210</t>
  </si>
  <si>
    <t xml:space="preserve">VRT932967</t>
  </si>
  <si>
    <t xml:space="preserve">10-Mar-2025</t>
  </si>
  <si>
    <t xml:space="preserve">EXP-211</t>
  </si>
  <si>
    <t xml:space="preserve">VRT650708</t>
  </si>
  <si>
    <t xml:space="preserve">EXP-212</t>
  </si>
  <si>
    <t xml:space="preserve">VRT176756</t>
  </si>
  <si>
    <t xml:space="preserve">EXP-213</t>
  </si>
  <si>
    <t xml:space="preserve">VRT259367</t>
  </si>
  <si>
    <t xml:space="preserve">EXP-214</t>
  </si>
  <si>
    <t xml:space="preserve">VRT901710</t>
  </si>
  <si>
    <t xml:space="preserve">EXP-215</t>
  </si>
  <si>
    <t xml:space="preserve">VRT723241</t>
  </si>
  <si>
    <t xml:space="preserve">23-Mar-2025</t>
  </si>
  <si>
    <t xml:space="preserve">EXP-216</t>
  </si>
  <si>
    <t xml:space="preserve">VRT383051</t>
  </si>
  <si>
    <t xml:space="preserve">EXP-217</t>
  </si>
  <si>
    <t xml:space="preserve">VRT424646</t>
  </si>
  <si>
    <t xml:space="preserve">EXP-218</t>
  </si>
  <si>
    <t xml:space="preserve">VRT801133</t>
  </si>
  <si>
    <t xml:space="preserve">EXP-219</t>
  </si>
  <si>
    <t xml:space="preserve">VRT222783</t>
  </si>
  <si>
    <t xml:space="preserve">EXP-220</t>
  </si>
  <si>
    <t xml:space="preserve">VRT359642</t>
  </si>
  <si>
    <t xml:space="preserve">EXP-221</t>
  </si>
  <si>
    <t xml:space="preserve">VRT521154</t>
  </si>
  <si>
    <t xml:space="preserve">EXP-222</t>
  </si>
  <si>
    <t xml:space="preserve">Samuel Osei</t>
  </si>
  <si>
    <t xml:space="preserve">VRT391945</t>
  </si>
  <si>
    <t xml:space="preserve">EXP-223</t>
  </si>
  <si>
    <t xml:space="preserve">VRT187015</t>
  </si>
  <si>
    <t xml:space="preserve">EXP-224</t>
  </si>
  <si>
    <t xml:space="preserve">VRT971464</t>
  </si>
  <si>
    <t xml:space="preserve">EXP-225</t>
  </si>
  <si>
    <t xml:space="preserve">VRT539297</t>
  </si>
  <si>
    <t xml:space="preserve">EXP-226</t>
  </si>
  <si>
    <t xml:space="preserve">VRT640531</t>
  </si>
  <si>
    <t xml:space="preserve">EXP-227</t>
  </si>
  <si>
    <t xml:space="preserve">VRT813634</t>
  </si>
  <si>
    <t xml:space="preserve">EXP-228</t>
  </si>
  <si>
    <t xml:space="preserve">VRT208566</t>
  </si>
  <si>
    <t xml:space="preserve">EXP-229</t>
  </si>
  <si>
    <t xml:space="preserve">VRT318904</t>
  </si>
  <si>
    <t xml:space="preserve">EXP-230</t>
  </si>
  <si>
    <t xml:space="preserve">VRT207352</t>
  </si>
  <si>
    <t xml:space="preserve">EXP-231</t>
  </si>
  <si>
    <t xml:space="preserve">VRT126739</t>
  </si>
  <si>
    <t xml:space="preserve">EXP-232</t>
  </si>
  <si>
    <t xml:space="preserve">VRT364511</t>
  </si>
  <si>
    <t xml:space="preserve">EXP-233</t>
  </si>
  <si>
    <t xml:space="preserve">VRT220956</t>
  </si>
  <si>
    <t xml:space="preserve">16-Mar-2025</t>
  </si>
  <si>
    <t xml:space="preserve">EXP-234</t>
  </si>
  <si>
    <t xml:space="preserve">VRT190056</t>
  </si>
  <si>
    <t xml:space="preserve">EXP-235</t>
  </si>
  <si>
    <t xml:space="preserve">VRT269280</t>
  </si>
  <si>
    <t xml:space="preserve">EXP-236</t>
  </si>
  <si>
    <t xml:space="preserve">VRT669557</t>
  </si>
  <si>
    <t xml:space="preserve">EXP-237</t>
  </si>
  <si>
    <t xml:space="preserve">VRT830015</t>
  </si>
  <si>
    <t xml:space="preserve">EXP-238</t>
  </si>
  <si>
    <t xml:space="preserve">VRT909435</t>
  </si>
  <si>
    <t xml:space="preserve">EXP-239</t>
  </si>
  <si>
    <t xml:space="preserve">VRT743016</t>
  </si>
  <si>
    <t xml:space="preserve">EXP-240</t>
  </si>
  <si>
    <t xml:space="preserve">VRT875813</t>
  </si>
  <si>
    <t xml:space="preserve">EXP-241</t>
  </si>
  <si>
    <t xml:space="preserve">VRT130387</t>
  </si>
  <si>
    <t xml:space="preserve">EXP-242</t>
  </si>
  <si>
    <t xml:space="preserve">VRT826161</t>
  </si>
  <si>
    <t xml:space="preserve">EXP-243</t>
  </si>
  <si>
    <t xml:space="preserve">VRT466497</t>
  </si>
  <si>
    <t xml:space="preserve">26-Mar-2025</t>
  </si>
  <si>
    <t xml:space="preserve">EXP-244</t>
  </si>
  <si>
    <t xml:space="preserve">VRT337865</t>
  </si>
  <si>
    <t xml:space="preserve">Veriton Bank — Daily Reconciliation Report (March 2025)</t>
  </si>
  <si>
    <t xml:space="preserve">Total Transactions</t>
  </si>
  <si>
    <t xml:space="preserve">Total Amount (GBP)</t>
  </si>
  <si>
    <t xml:space="preserve">Reconciliation Rate</t>
  </si>
  <si>
    <t xml:space="preserve">Txn Count</t>
  </si>
  <si>
    <t xml:space="preserve">Match Rate</t>
  </si>
  <si>
    <t xml:space="preserve">TOTAL</t>
  </si>
  <si>
    <t xml:space="preserve">EXCEPTION LOG — Unmatched &amp; Pending Items Requiring Action</t>
  </si>
  <si>
    <t xml:space="preserve">Issue Type</t>
  </si>
  <si>
    <t xml:space="preserve">Assigned To</t>
  </si>
  <si>
    <t xml:space="preserve">Resolution Deadline</t>
  </si>
  <si>
    <t xml:space="preserve">Amount Mismatch</t>
  </si>
  <si>
    <t xml:space="preserve">Ops Team A</t>
  </si>
  <si>
    <t xml:space="preserve">Missing Reference</t>
  </si>
  <si>
    <t xml:space="preserve">Ops Team B</t>
  </si>
  <si>
    <t xml:space="preserve">Duplicate Entry</t>
  </si>
  <si>
    <t xml:space="preserve">Account Not Found</t>
  </si>
  <si>
    <t xml:space="preserve">Ops Team C</t>
  </si>
  <si>
    <t xml:space="preserve">Pending Verification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</si>
</sst>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General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b val="true"/>
      <sz val="8"/>
      <color rgb="FF1A5C1A"/>
      <name val="Arial"/>
      <family val="0"/>
      <charset val="1"/>
    </font>
    <font>
      <b val="true"/>
      <sz val="13"/>
      <color rgb="FF1A5C1A"/>
      <name val="Arial"/>
      <family val="0"/>
      <charset val="1"/>
    </font>
    <font>
      <b val="true"/>
      <sz val="9"/>
      <color rgb="FF1A5C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5C1A"/>
        <bgColor rgb="FF276221"/>
      </patternFill>
    </fill>
    <fill>
      <patternFill patternType="solid">
        <fgColor rgb="FF2E7D32"/>
        <bgColor rgb="FF276221"/>
      </patternFill>
    </fill>
    <fill>
      <patternFill patternType="solid">
        <fgColor rgb="FFFFFFFF"/>
        <bgColor rgb="FFE8F5E9"/>
      </patternFill>
    </fill>
    <fill>
      <patternFill patternType="solid">
        <fgColor rgb="FFE8F5E9"/>
        <bgColor rgb="FFE2EFDA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9C00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9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9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1A5C1A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E8F5E9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111111"/>
      <rgbColor rgb="FF333300"/>
      <rgbColor rgb="FF993300"/>
      <rgbColor rgb="FF993366"/>
      <rgbColor rgb="FF333399"/>
      <rgbColor rgb="FF2762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.75" hidden="false" customHeight="true" outlineLevel="0" collapsed="false">
      <c r="A3" s="3" t="s">
        <v>9</v>
      </c>
      <c r="B3" s="3" t="s">
        <v>10</v>
      </c>
      <c r="C3" s="4" t="s">
        <v>11</v>
      </c>
      <c r="D3" s="3" t="s">
        <v>12</v>
      </c>
      <c r="E3" s="3" t="s">
        <v>13</v>
      </c>
      <c r="F3" s="5" t="n">
        <v>12622.15</v>
      </c>
      <c r="G3" s="3" t="s">
        <v>14</v>
      </c>
      <c r="H3" s="3" t="s">
        <v>15</v>
      </c>
    </row>
    <row r="4" customFormat="false" ht="15.75" hidden="false" customHeight="true" outlineLevel="0" collapsed="false">
      <c r="A4" s="6" t="s">
        <v>16</v>
      </c>
      <c r="B4" s="6" t="s">
        <v>17</v>
      </c>
      <c r="C4" s="7" t="s">
        <v>18</v>
      </c>
      <c r="D4" s="6" t="s">
        <v>19</v>
      </c>
      <c r="E4" s="6" t="s">
        <v>20</v>
      </c>
      <c r="F4" s="8" t="n">
        <v>4803.47</v>
      </c>
      <c r="G4" s="6" t="s">
        <v>21</v>
      </c>
      <c r="H4" s="6" t="s">
        <v>22</v>
      </c>
    </row>
    <row r="5" customFormat="false" ht="15.75" hidden="false" customHeight="true" outlineLevel="0" collapsed="false">
      <c r="A5" s="3" t="s">
        <v>23</v>
      </c>
      <c r="B5" s="3" t="s">
        <v>24</v>
      </c>
      <c r="C5" s="4" t="s">
        <v>25</v>
      </c>
      <c r="D5" s="3" t="s">
        <v>26</v>
      </c>
      <c r="E5" s="3" t="s">
        <v>27</v>
      </c>
      <c r="F5" s="5" t="n">
        <v>25515.09</v>
      </c>
      <c r="G5" s="3" t="s">
        <v>28</v>
      </c>
      <c r="H5" s="3" t="s">
        <v>29</v>
      </c>
    </row>
    <row r="6" customFormat="false" ht="15.75" hidden="false" customHeight="true" outlineLevel="0" collapsed="false">
      <c r="A6" s="6" t="s">
        <v>30</v>
      </c>
      <c r="B6" s="6" t="s">
        <v>31</v>
      </c>
      <c r="C6" s="7" t="s">
        <v>32</v>
      </c>
      <c r="D6" s="6" t="s">
        <v>33</v>
      </c>
      <c r="E6" s="6" t="s">
        <v>20</v>
      </c>
      <c r="F6" s="8" t="n">
        <v>21266.23</v>
      </c>
      <c r="G6" s="6" t="s">
        <v>34</v>
      </c>
      <c r="H6" s="6" t="s">
        <v>29</v>
      </c>
    </row>
    <row r="7" customFormat="false" ht="15.75" hidden="false" customHeight="true" outlineLevel="0" collapsed="false">
      <c r="A7" s="3" t="s">
        <v>35</v>
      </c>
      <c r="B7" s="3" t="s">
        <v>36</v>
      </c>
      <c r="C7" s="4" t="s">
        <v>37</v>
      </c>
      <c r="D7" s="3" t="s">
        <v>38</v>
      </c>
      <c r="E7" s="3" t="s">
        <v>27</v>
      </c>
      <c r="F7" s="5" t="n">
        <v>35057.9</v>
      </c>
      <c r="G7" s="3" t="s">
        <v>39</v>
      </c>
      <c r="H7" s="3" t="s">
        <v>22</v>
      </c>
    </row>
    <row r="8" customFormat="false" ht="15.75" hidden="false" customHeight="true" outlineLevel="0" collapsed="false">
      <c r="A8" s="6" t="s">
        <v>40</v>
      </c>
      <c r="B8" s="6" t="s">
        <v>41</v>
      </c>
      <c r="C8" s="7" t="s">
        <v>42</v>
      </c>
      <c r="D8" s="6" t="s">
        <v>43</v>
      </c>
      <c r="E8" s="6" t="s">
        <v>13</v>
      </c>
      <c r="F8" s="8" t="n">
        <v>5559.41</v>
      </c>
      <c r="G8" s="6" t="s">
        <v>44</v>
      </c>
      <c r="H8" s="6" t="s">
        <v>22</v>
      </c>
    </row>
    <row r="9" customFormat="false" ht="15.75" hidden="false" customHeight="true" outlineLevel="0" collapsed="false">
      <c r="A9" s="3" t="s">
        <v>45</v>
      </c>
      <c r="B9" s="3" t="s">
        <v>46</v>
      </c>
      <c r="C9" s="4" t="s">
        <v>47</v>
      </c>
      <c r="D9" s="3" t="s">
        <v>48</v>
      </c>
      <c r="E9" s="3" t="s">
        <v>13</v>
      </c>
      <c r="F9" s="5" t="n">
        <v>40452.85</v>
      </c>
      <c r="G9" s="3" t="s">
        <v>49</v>
      </c>
      <c r="H9" s="3" t="s">
        <v>29</v>
      </c>
    </row>
    <row r="10" customFormat="false" ht="15.75" hidden="false" customHeight="true" outlineLevel="0" collapsed="false">
      <c r="A10" s="6" t="s">
        <v>50</v>
      </c>
      <c r="B10" s="6" t="s">
        <v>17</v>
      </c>
      <c r="C10" s="7" t="s">
        <v>51</v>
      </c>
      <c r="D10" s="6" t="s">
        <v>52</v>
      </c>
      <c r="E10" s="6" t="s">
        <v>20</v>
      </c>
      <c r="F10" s="8" t="n">
        <v>15012.32</v>
      </c>
      <c r="G10" s="6" t="s">
        <v>53</v>
      </c>
      <c r="H10" s="6" t="s">
        <v>29</v>
      </c>
    </row>
    <row r="11" customFormat="false" ht="15.75" hidden="false" customHeight="true" outlineLevel="0" collapsed="false">
      <c r="A11" s="3" t="s">
        <v>54</v>
      </c>
      <c r="B11" s="3" t="s">
        <v>55</v>
      </c>
      <c r="C11" s="4" t="s">
        <v>47</v>
      </c>
      <c r="D11" s="3" t="s">
        <v>56</v>
      </c>
      <c r="E11" s="3" t="s">
        <v>27</v>
      </c>
      <c r="F11" s="5" t="n">
        <v>35376.31</v>
      </c>
      <c r="G11" s="3" t="s">
        <v>57</v>
      </c>
      <c r="H11" s="3" t="s">
        <v>15</v>
      </c>
    </row>
    <row r="12" customFormat="false" ht="15.75" hidden="false" customHeight="true" outlineLevel="0" collapsed="false">
      <c r="A12" s="6" t="s">
        <v>58</v>
      </c>
      <c r="B12" s="6" t="s">
        <v>59</v>
      </c>
      <c r="C12" s="7" t="s">
        <v>60</v>
      </c>
      <c r="D12" s="6" t="s">
        <v>61</v>
      </c>
      <c r="E12" s="6" t="s">
        <v>62</v>
      </c>
      <c r="F12" s="8" t="n">
        <v>42838.23</v>
      </c>
      <c r="G12" s="6" t="s">
        <v>63</v>
      </c>
      <c r="H12" s="6" t="s">
        <v>22</v>
      </c>
    </row>
    <row r="13" customFormat="false" ht="15.75" hidden="false" customHeight="true" outlineLevel="0" collapsed="false">
      <c r="A13" s="3" t="s">
        <v>64</v>
      </c>
      <c r="B13" s="3" t="s">
        <v>36</v>
      </c>
      <c r="C13" s="4" t="s">
        <v>65</v>
      </c>
      <c r="D13" s="3" t="s">
        <v>66</v>
      </c>
      <c r="E13" s="3" t="s">
        <v>13</v>
      </c>
      <c r="F13" s="5" t="n">
        <v>8551.38</v>
      </c>
      <c r="G13" s="3" t="s">
        <v>67</v>
      </c>
      <c r="H13" s="3" t="s">
        <v>22</v>
      </c>
    </row>
    <row r="14" customFormat="false" ht="15.75" hidden="false" customHeight="true" outlineLevel="0" collapsed="false">
      <c r="A14" s="6" t="s">
        <v>68</v>
      </c>
      <c r="B14" s="6" t="s">
        <v>69</v>
      </c>
      <c r="C14" s="7" t="s">
        <v>70</v>
      </c>
      <c r="D14" s="6" t="s">
        <v>71</v>
      </c>
      <c r="E14" s="6" t="s">
        <v>62</v>
      </c>
      <c r="F14" s="8" t="n">
        <v>30651.98</v>
      </c>
      <c r="G14" s="6" t="s">
        <v>72</v>
      </c>
      <c r="H14" s="6" t="s">
        <v>29</v>
      </c>
    </row>
    <row r="15" customFormat="false" ht="15.75" hidden="false" customHeight="true" outlineLevel="0" collapsed="false">
      <c r="A15" s="3" t="s">
        <v>73</v>
      </c>
      <c r="B15" s="3" t="s">
        <v>74</v>
      </c>
      <c r="C15" s="4" t="s">
        <v>75</v>
      </c>
      <c r="D15" s="3" t="s">
        <v>76</v>
      </c>
      <c r="E15" s="3" t="s">
        <v>77</v>
      </c>
      <c r="F15" s="5" t="n">
        <v>19283.04</v>
      </c>
      <c r="G15" s="3" t="s">
        <v>78</v>
      </c>
      <c r="H15" s="3" t="s">
        <v>15</v>
      </c>
    </row>
    <row r="16" customFormat="false" ht="15.75" hidden="false" customHeight="true" outlineLevel="0" collapsed="false">
      <c r="A16" s="6" t="s">
        <v>79</v>
      </c>
      <c r="B16" s="6" t="s">
        <v>80</v>
      </c>
      <c r="C16" s="7" t="s">
        <v>75</v>
      </c>
      <c r="D16" s="6" t="s">
        <v>81</v>
      </c>
      <c r="E16" s="6" t="s">
        <v>13</v>
      </c>
      <c r="F16" s="8" t="n">
        <v>42221.17</v>
      </c>
      <c r="G16" s="6" t="s">
        <v>82</v>
      </c>
      <c r="H16" s="6" t="s">
        <v>22</v>
      </c>
    </row>
    <row r="17" customFormat="false" ht="15.75" hidden="false" customHeight="true" outlineLevel="0" collapsed="false">
      <c r="A17" s="3" t="s">
        <v>83</v>
      </c>
      <c r="B17" s="3" t="s">
        <v>84</v>
      </c>
      <c r="C17" s="4" t="s">
        <v>85</v>
      </c>
      <c r="D17" s="3" t="s">
        <v>86</v>
      </c>
      <c r="E17" s="3" t="s">
        <v>13</v>
      </c>
      <c r="F17" s="5" t="n">
        <v>20357.66</v>
      </c>
      <c r="G17" s="3" t="s">
        <v>87</v>
      </c>
      <c r="H17" s="3" t="s">
        <v>22</v>
      </c>
    </row>
    <row r="18" customFormat="false" ht="15.75" hidden="false" customHeight="true" outlineLevel="0" collapsed="false">
      <c r="A18" s="6" t="s">
        <v>88</v>
      </c>
      <c r="B18" s="6" t="s">
        <v>89</v>
      </c>
      <c r="C18" s="7" t="s">
        <v>32</v>
      </c>
      <c r="D18" s="6" t="s">
        <v>90</v>
      </c>
      <c r="E18" s="6" t="s">
        <v>27</v>
      </c>
      <c r="F18" s="8" t="n">
        <v>32944.21</v>
      </c>
      <c r="G18" s="6" t="s">
        <v>91</v>
      </c>
      <c r="H18" s="6" t="s">
        <v>15</v>
      </c>
    </row>
    <row r="19" customFormat="false" ht="15.75" hidden="false" customHeight="true" outlineLevel="0" collapsed="false">
      <c r="A19" s="3" t="s">
        <v>92</v>
      </c>
      <c r="B19" s="3" t="s">
        <v>93</v>
      </c>
      <c r="C19" s="4" t="s">
        <v>94</v>
      </c>
      <c r="D19" s="3" t="s">
        <v>95</v>
      </c>
      <c r="E19" s="3" t="s">
        <v>27</v>
      </c>
      <c r="F19" s="5" t="n">
        <v>12708.06</v>
      </c>
      <c r="G19" s="3" t="s">
        <v>96</v>
      </c>
      <c r="H19" s="3" t="s">
        <v>29</v>
      </c>
    </row>
    <row r="20" customFormat="false" ht="15.75" hidden="false" customHeight="true" outlineLevel="0" collapsed="false">
      <c r="A20" s="6" t="s">
        <v>97</v>
      </c>
      <c r="B20" s="6" t="s">
        <v>36</v>
      </c>
      <c r="C20" s="7" t="s">
        <v>98</v>
      </c>
      <c r="D20" s="6" t="s">
        <v>99</v>
      </c>
      <c r="E20" s="6" t="s">
        <v>77</v>
      </c>
      <c r="F20" s="8" t="n">
        <v>44942.23</v>
      </c>
      <c r="G20" s="6" t="s">
        <v>100</v>
      </c>
      <c r="H20" s="6" t="s">
        <v>22</v>
      </c>
    </row>
    <row r="21" customFormat="false" ht="15.75" hidden="false" customHeight="true" outlineLevel="0" collapsed="false">
      <c r="A21" s="3" t="s">
        <v>101</v>
      </c>
      <c r="B21" s="3" t="s">
        <v>59</v>
      </c>
      <c r="C21" s="4" t="s">
        <v>94</v>
      </c>
      <c r="D21" s="3" t="s">
        <v>102</v>
      </c>
      <c r="E21" s="3" t="s">
        <v>77</v>
      </c>
      <c r="F21" s="5" t="n">
        <v>5000.02</v>
      </c>
      <c r="G21" s="3" t="s">
        <v>103</v>
      </c>
      <c r="H21" s="3" t="s">
        <v>22</v>
      </c>
    </row>
    <row r="22" customFormat="false" ht="15.75" hidden="false" customHeight="true" outlineLevel="0" collapsed="false">
      <c r="A22" s="6" t="s">
        <v>104</v>
      </c>
      <c r="B22" s="6" t="s">
        <v>41</v>
      </c>
      <c r="C22" s="7" t="s">
        <v>105</v>
      </c>
      <c r="D22" s="6" t="s">
        <v>106</v>
      </c>
      <c r="E22" s="6" t="s">
        <v>77</v>
      </c>
      <c r="F22" s="8" t="n">
        <v>30022.25</v>
      </c>
      <c r="G22" s="6" t="s">
        <v>107</v>
      </c>
      <c r="H22" s="6" t="s">
        <v>22</v>
      </c>
    </row>
    <row r="23" customFormat="false" ht="15.75" hidden="false" customHeight="true" outlineLevel="0" collapsed="false">
      <c r="A23" s="3" t="s">
        <v>108</v>
      </c>
      <c r="B23" s="3" t="s">
        <v>109</v>
      </c>
      <c r="C23" s="4" t="s">
        <v>65</v>
      </c>
      <c r="D23" s="3" t="s">
        <v>110</v>
      </c>
      <c r="E23" s="3" t="s">
        <v>13</v>
      </c>
      <c r="F23" s="5" t="n">
        <v>48568.38</v>
      </c>
      <c r="G23" s="3" t="s">
        <v>111</v>
      </c>
      <c r="H23" s="3" t="s">
        <v>15</v>
      </c>
    </row>
    <row r="24" customFormat="false" ht="15.75" hidden="false" customHeight="true" outlineLevel="0" collapsed="false">
      <c r="A24" s="6" t="s">
        <v>112</v>
      </c>
      <c r="B24" s="6" t="s">
        <v>74</v>
      </c>
      <c r="C24" s="7" t="s">
        <v>11</v>
      </c>
      <c r="D24" s="6" t="s">
        <v>113</v>
      </c>
      <c r="E24" s="6" t="s">
        <v>20</v>
      </c>
      <c r="F24" s="8" t="n">
        <v>37668.45</v>
      </c>
      <c r="G24" s="6" t="s">
        <v>114</v>
      </c>
      <c r="H24" s="6" t="s">
        <v>22</v>
      </c>
    </row>
    <row r="25" customFormat="false" ht="15.75" hidden="false" customHeight="true" outlineLevel="0" collapsed="false">
      <c r="A25" s="3" t="s">
        <v>115</v>
      </c>
      <c r="B25" s="3" t="s">
        <v>17</v>
      </c>
      <c r="C25" s="4" t="s">
        <v>116</v>
      </c>
      <c r="D25" s="3" t="s">
        <v>117</v>
      </c>
      <c r="E25" s="3" t="s">
        <v>27</v>
      </c>
      <c r="F25" s="5" t="n">
        <v>22959.32</v>
      </c>
      <c r="G25" s="3" t="s">
        <v>118</v>
      </c>
      <c r="H25" s="3" t="s">
        <v>29</v>
      </c>
    </row>
    <row r="26" customFormat="false" ht="15.75" hidden="false" customHeight="true" outlineLevel="0" collapsed="false">
      <c r="A26" s="6" t="s">
        <v>119</v>
      </c>
      <c r="B26" s="6" t="s">
        <v>120</v>
      </c>
      <c r="C26" s="7" t="s">
        <v>121</v>
      </c>
      <c r="D26" s="6" t="s">
        <v>122</v>
      </c>
      <c r="E26" s="6" t="s">
        <v>62</v>
      </c>
      <c r="F26" s="8" t="n">
        <v>43590.67</v>
      </c>
      <c r="G26" s="6" t="s">
        <v>123</v>
      </c>
      <c r="H26" s="6" t="s">
        <v>15</v>
      </c>
    </row>
    <row r="27" customFormat="false" ht="15.75" hidden="false" customHeight="true" outlineLevel="0" collapsed="false">
      <c r="A27" s="3" t="s">
        <v>124</v>
      </c>
      <c r="B27" s="3" t="s">
        <v>125</v>
      </c>
      <c r="C27" s="4" t="s">
        <v>126</v>
      </c>
      <c r="D27" s="3" t="s">
        <v>127</v>
      </c>
      <c r="E27" s="3" t="s">
        <v>27</v>
      </c>
      <c r="F27" s="5" t="n">
        <v>19008.74</v>
      </c>
      <c r="G27" s="3" t="s">
        <v>128</v>
      </c>
      <c r="H27" s="3" t="s">
        <v>29</v>
      </c>
    </row>
    <row r="28" customFormat="false" ht="15.75" hidden="false" customHeight="true" outlineLevel="0" collapsed="false">
      <c r="A28" s="6" t="s">
        <v>129</v>
      </c>
      <c r="B28" s="6" t="s">
        <v>120</v>
      </c>
      <c r="C28" s="7" t="s">
        <v>130</v>
      </c>
      <c r="D28" s="6" t="s">
        <v>131</v>
      </c>
      <c r="E28" s="6" t="s">
        <v>20</v>
      </c>
      <c r="F28" s="8" t="n">
        <v>16545.72</v>
      </c>
      <c r="G28" s="6" t="s">
        <v>132</v>
      </c>
      <c r="H28" s="6" t="s">
        <v>22</v>
      </c>
    </row>
    <row r="29" customFormat="false" ht="15.75" hidden="false" customHeight="true" outlineLevel="0" collapsed="false">
      <c r="A29" s="3" t="s">
        <v>133</v>
      </c>
      <c r="B29" s="3" t="s">
        <v>46</v>
      </c>
      <c r="C29" s="4" t="s">
        <v>116</v>
      </c>
      <c r="D29" s="3" t="s">
        <v>134</v>
      </c>
      <c r="E29" s="3" t="s">
        <v>62</v>
      </c>
      <c r="F29" s="5" t="n">
        <v>12423.14</v>
      </c>
      <c r="G29" s="3" t="s">
        <v>135</v>
      </c>
      <c r="H29" s="3" t="s">
        <v>22</v>
      </c>
    </row>
    <row r="30" customFormat="false" ht="15.75" hidden="false" customHeight="true" outlineLevel="0" collapsed="false">
      <c r="A30" s="6" t="s">
        <v>136</v>
      </c>
      <c r="B30" s="6" t="s">
        <v>137</v>
      </c>
      <c r="C30" s="7" t="s">
        <v>98</v>
      </c>
      <c r="D30" s="6" t="s">
        <v>138</v>
      </c>
      <c r="E30" s="6" t="s">
        <v>62</v>
      </c>
      <c r="F30" s="8" t="n">
        <v>48910.23</v>
      </c>
      <c r="G30" s="6" t="s">
        <v>139</v>
      </c>
      <c r="H30" s="6" t="s">
        <v>22</v>
      </c>
    </row>
    <row r="31" customFormat="false" ht="15.75" hidden="false" customHeight="true" outlineLevel="0" collapsed="false">
      <c r="A31" s="3" t="s">
        <v>140</v>
      </c>
      <c r="B31" s="3" t="s">
        <v>41</v>
      </c>
      <c r="C31" s="4" t="s">
        <v>18</v>
      </c>
      <c r="D31" s="3" t="s">
        <v>141</v>
      </c>
      <c r="E31" s="3" t="s">
        <v>20</v>
      </c>
      <c r="F31" s="5" t="n">
        <v>8673.78</v>
      </c>
      <c r="G31" s="3" t="s">
        <v>142</v>
      </c>
      <c r="H31" s="3" t="s">
        <v>29</v>
      </c>
    </row>
    <row r="32" customFormat="false" ht="15.75" hidden="false" customHeight="true" outlineLevel="0" collapsed="false">
      <c r="A32" s="6" t="s">
        <v>143</v>
      </c>
      <c r="B32" s="6" t="s">
        <v>144</v>
      </c>
      <c r="C32" s="7" t="s">
        <v>42</v>
      </c>
      <c r="D32" s="6" t="s">
        <v>145</v>
      </c>
      <c r="E32" s="6" t="s">
        <v>27</v>
      </c>
      <c r="F32" s="8" t="n">
        <v>35790.97</v>
      </c>
      <c r="G32" s="6" t="s">
        <v>146</v>
      </c>
      <c r="H32" s="6" t="s">
        <v>15</v>
      </c>
    </row>
    <row r="33" customFormat="false" ht="15.75" hidden="false" customHeight="true" outlineLevel="0" collapsed="false">
      <c r="A33" s="3" t="s">
        <v>147</v>
      </c>
      <c r="B33" s="3" t="s">
        <v>10</v>
      </c>
      <c r="C33" s="4" t="s">
        <v>47</v>
      </c>
      <c r="D33" s="3" t="s">
        <v>148</v>
      </c>
      <c r="E33" s="3" t="s">
        <v>20</v>
      </c>
      <c r="F33" s="5" t="n">
        <v>22848.56</v>
      </c>
      <c r="G33" s="3" t="s">
        <v>149</v>
      </c>
      <c r="H33" s="3" t="s">
        <v>22</v>
      </c>
    </row>
    <row r="34" customFormat="false" ht="15.75" hidden="false" customHeight="true" outlineLevel="0" collapsed="false">
      <c r="A34" s="6" t="s">
        <v>150</v>
      </c>
      <c r="B34" s="6" t="s">
        <v>137</v>
      </c>
      <c r="C34" s="7" t="s">
        <v>151</v>
      </c>
      <c r="D34" s="6" t="s">
        <v>152</v>
      </c>
      <c r="E34" s="6" t="s">
        <v>20</v>
      </c>
      <c r="F34" s="8" t="n">
        <v>27919.12</v>
      </c>
      <c r="G34" s="6" t="s">
        <v>153</v>
      </c>
      <c r="H34" s="6" t="s">
        <v>22</v>
      </c>
    </row>
    <row r="35" customFormat="false" ht="15.75" hidden="false" customHeight="true" outlineLevel="0" collapsed="false">
      <c r="A35" s="3" t="s">
        <v>154</v>
      </c>
      <c r="B35" s="3" t="s">
        <v>24</v>
      </c>
      <c r="C35" s="4" t="s">
        <v>25</v>
      </c>
      <c r="D35" s="3" t="s">
        <v>155</v>
      </c>
      <c r="E35" s="3" t="s">
        <v>62</v>
      </c>
      <c r="F35" s="5" t="n">
        <v>11832.62</v>
      </c>
      <c r="G35" s="3" t="s">
        <v>156</v>
      </c>
      <c r="H35" s="3" t="s">
        <v>22</v>
      </c>
    </row>
    <row r="36" customFormat="false" ht="15.75" hidden="false" customHeight="true" outlineLevel="0" collapsed="false">
      <c r="A36" s="6" t="s">
        <v>157</v>
      </c>
      <c r="B36" s="6" t="s">
        <v>137</v>
      </c>
      <c r="C36" s="7" t="s">
        <v>130</v>
      </c>
      <c r="D36" s="6" t="s">
        <v>158</v>
      </c>
      <c r="E36" s="6" t="s">
        <v>13</v>
      </c>
      <c r="F36" s="8" t="n">
        <v>33614.4</v>
      </c>
      <c r="G36" s="6" t="s">
        <v>159</v>
      </c>
      <c r="H36" s="6" t="s">
        <v>29</v>
      </c>
    </row>
    <row r="37" customFormat="false" ht="15.75" hidden="false" customHeight="true" outlineLevel="0" collapsed="false">
      <c r="A37" s="3" t="s">
        <v>160</v>
      </c>
      <c r="B37" s="3" t="s">
        <v>41</v>
      </c>
      <c r="C37" s="4" t="s">
        <v>98</v>
      </c>
      <c r="D37" s="3" t="s">
        <v>161</v>
      </c>
      <c r="E37" s="3" t="s">
        <v>20</v>
      </c>
      <c r="F37" s="5" t="n">
        <v>23897.22</v>
      </c>
      <c r="G37" s="3" t="s">
        <v>162</v>
      </c>
      <c r="H37" s="3" t="s">
        <v>22</v>
      </c>
    </row>
    <row r="38" customFormat="false" ht="15.75" hidden="false" customHeight="true" outlineLevel="0" collapsed="false">
      <c r="A38" s="6" t="s">
        <v>163</v>
      </c>
      <c r="B38" s="6" t="s">
        <v>31</v>
      </c>
      <c r="C38" s="7" t="s">
        <v>11</v>
      </c>
      <c r="D38" s="6" t="s">
        <v>164</v>
      </c>
      <c r="E38" s="6" t="s">
        <v>77</v>
      </c>
      <c r="F38" s="8" t="n">
        <v>18037.73</v>
      </c>
      <c r="G38" s="6" t="s">
        <v>165</v>
      </c>
      <c r="H38" s="6" t="s">
        <v>22</v>
      </c>
    </row>
    <row r="39" customFormat="false" ht="15.75" hidden="false" customHeight="true" outlineLevel="0" collapsed="false">
      <c r="A39" s="3" t="s">
        <v>166</v>
      </c>
      <c r="B39" s="3" t="s">
        <v>55</v>
      </c>
      <c r="C39" s="4" t="s">
        <v>98</v>
      </c>
      <c r="D39" s="3" t="s">
        <v>167</v>
      </c>
      <c r="E39" s="3" t="s">
        <v>62</v>
      </c>
      <c r="F39" s="5" t="n">
        <v>3500.33</v>
      </c>
      <c r="G39" s="3" t="s">
        <v>168</v>
      </c>
      <c r="H39" s="3" t="s">
        <v>22</v>
      </c>
    </row>
    <row r="40" customFormat="false" ht="15.75" hidden="false" customHeight="true" outlineLevel="0" collapsed="false">
      <c r="A40" s="6" t="s">
        <v>169</v>
      </c>
      <c r="B40" s="6" t="s">
        <v>59</v>
      </c>
      <c r="C40" s="7" t="s">
        <v>42</v>
      </c>
      <c r="D40" s="6" t="s">
        <v>170</v>
      </c>
      <c r="E40" s="6" t="s">
        <v>20</v>
      </c>
      <c r="F40" s="8" t="n">
        <v>22706.37</v>
      </c>
      <c r="G40" s="6" t="s">
        <v>171</v>
      </c>
      <c r="H40" s="6" t="s">
        <v>22</v>
      </c>
    </row>
    <row r="41" customFormat="false" ht="15.75" hidden="false" customHeight="true" outlineLevel="0" collapsed="false">
      <c r="A41" s="3" t="s">
        <v>172</v>
      </c>
      <c r="B41" s="3" t="s">
        <v>36</v>
      </c>
      <c r="C41" s="4" t="s">
        <v>65</v>
      </c>
      <c r="D41" s="3" t="s">
        <v>173</v>
      </c>
      <c r="E41" s="3" t="s">
        <v>62</v>
      </c>
      <c r="F41" s="5" t="n">
        <v>22434.97</v>
      </c>
      <c r="G41" s="3" t="s">
        <v>174</v>
      </c>
      <c r="H41" s="3" t="s">
        <v>22</v>
      </c>
    </row>
    <row r="42" customFormat="false" ht="15.75" hidden="false" customHeight="true" outlineLevel="0" collapsed="false">
      <c r="A42" s="6" t="s">
        <v>175</v>
      </c>
      <c r="B42" s="6" t="s">
        <v>176</v>
      </c>
      <c r="C42" s="7" t="s">
        <v>105</v>
      </c>
      <c r="D42" s="6" t="s">
        <v>177</v>
      </c>
      <c r="E42" s="6" t="s">
        <v>62</v>
      </c>
      <c r="F42" s="8" t="n">
        <v>48465.31</v>
      </c>
      <c r="G42" s="6" t="s">
        <v>178</v>
      </c>
      <c r="H42" s="6" t="s">
        <v>22</v>
      </c>
    </row>
    <row r="43" customFormat="false" ht="15.75" hidden="false" customHeight="true" outlineLevel="0" collapsed="false">
      <c r="A43" s="3" t="s">
        <v>179</v>
      </c>
      <c r="B43" s="3" t="s">
        <v>144</v>
      </c>
      <c r="C43" s="4" t="s">
        <v>180</v>
      </c>
      <c r="D43" s="3" t="s">
        <v>181</v>
      </c>
      <c r="E43" s="3" t="s">
        <v>27</v>
      </c>
      <c r="F43" s="5" t="n">
        <v>43300.19</v>
      </c>
      <c r="G43" s="3" t="s">
        <v>182</v>
      </c>
      <c r="H43" s="3" t="s">
        <v>22</v>
      </c>
    </row>
    <row r="44" customFormat="false" ht="15.75" hidden="false" customHeight="true" outlineLevel="0" collapsed="false">
      <c r="A44" s="6" t="s">
        <v>183</v>
      </c>
      <c r="B44" s="6" t="s">
        <v>184</v>
      </c>
      <c r="C44" s="7" t="s">
        <v>37</v>
      </c>
      <c r="D44" s="6" t="s">
        <v>185</v>
      </c>
      <c r="E44" s="6" t="s">
        <v>13</v>
      </c>
      <c r="F44" s="8" t="n">
        <v>46362.64</v>
      </c>
      <c r="G44" s="6" t="s">
        <v>186</v>
      </c>
      <c r="H44" s="6" t="s">
        <v>22</v>
      </c>
    </row>
    <row r="45" customFormat="false" ht="15.75" hidden="false" customHeight="true" outlineLevel="0" collapsed="false">
      <c r="A45" s="3" t="s">
        <v>187</v>
      </c>
      <c r="B45" s="3" t="s">
        <v>144</v>
      </c>
      <c r="C45" s="4" t="s">
        <v>32</v>
      </c>
      <c r="D45" s="3" t="s">
        <v>188</v>
      </c>
      <c r="E45" s="3" t="s">
        <v>20</v>
      </c>
      <c r="F45" s="5" t="n">
        <v>33262.63</v>
      </c>
      <c r="G45" s="3" t="s">
        <v>189</v>
      </c>
      <c r="H45" s="3" t="s">
        <v>22</v>
      </c>
    </row>
    <row r="46" customFormat="false" ht="15.75" hidden="false" customHeight="true" outlineLevel="0" collapsed="false">
      <c r="A46" s="6" t="s">
        <v>190</v>
      </c>
      <c r="B46" s="6" t="s">
        <v>31</v>
      </c>
      <c r="C46" s="7" t="s">
        <v>116</v>
      </c>
      <c r="D46" s="6" t="s">
        <v>191</v>
      </c>
      <c r="E46" s="6" t="s">
        <v>62</v>
      </c>
      <c r="F46" s="8" t="n">
        <v>29169.42</v>
      </c>
      <c r="G46" s="6" t="s">
        <v>192</v>
      </c>
      <c r="H46" s="6" t="s">
        <v>22</v>
      </c>
    </row>
    <row r="47" customFormat="false" ht="15.75" hidden="false" customHeight="true" outlineLevel="0" collapsed="false">
      <c r="A47" s="3" t="s">
        <v>193</v>
      </c>
      <c r="B47" s="3" t="s">
        <v>74</v>
      </c>
      <c r="C47" s="4" t="s">
        <v>151</v>
      </c>
      <c r="D47" s="3" t="s">
        <v>194</v>
      </c>
      <c r="E47" s="3" t="s">
        <v>62</v>
      </c>
      <c r="F47" s="5" t="n">
        <v>29416.79</v>
      </c>
      <c r="G47" s="3" t="s">
        <v>195</v>
      </c>
      <c r="H47" s="3" t="s">
        <v>29</v>
      </c>
    </row>
    <row r="48" customFormat="false" ht="15.75" hidden="false" customHeight="true" outlineLevel="0" collapsed="false">
      <c r="A48" s="6" t="s">
        <v>196</v>
      </c>
      <c r="B48" s="6" t="s">
        <v>197</v>
      </c>
      <c r="C48" s="7" t="s">
        <v>85</v>
      </c>
      <c r="D48" s="6" t="s">
        <v>198</v>
      </c>
      <c r="E48" s="6" t="s">
        <v>62</v>
      </c>
      <c r="F48" s="8" t="n">
        <v>42641.46</v>
      </c>
      <c r="G48" s="6" t="s">
        <v>199</v>
      </c>
      <c r="H48" s="6" t="s">
        <v>29</v>
      </c>
    </row>
    <row r="49" customFormat="false" ht="15.75" hidden="false" customHeight="true" outlineLevel="0" collapsed="false">
      <c r="A49" s="3" t="s">
        <v>200</v>
      </c>
      <c r="B49" s="3" t="s">
        <v>137</v>
      </c>
      <c r="C49" s="4" t="s">
        <v>18</v>
      </c>
      <c r="D49" s="3" t="s">
        <v>201</v>
      </c>
      <c r="E49" s="3" t="s">
        <v>77</v>
      </c>
      <c r="F49" s="5" t="n">
        <v>6434.39</v>
      </c>
      <c r="G49" s="3" t="s">
        <v>202</v>
      </c>
      <c r="H49" s="3" t="s">
        <v>22</v>
      </c>
    </row>
    <row r="50" customFormat="false" ht="15.75" hidden="false" customHeight="true" outlineLevel="0" collapsed="false">
      <c r="A50" s="6" t="s">
        <v>203</v>
      </c>
      <c r="B50" s="6" t="s">
        <v>89</v>
      </c>
      <c r="C50" s="7" t="s">
        <v>126</v>
      </c>
      <c r="D50" s="6" t="s">
        <v>204</v>
      </c>
      <c r="E50" s="6" t="s">
        <v>20</v>
      </c>
      <c r="F50" s="8" t="n">
        <v>4558.18</v>
      </c>
      <c r="G50" s="6" t="s">
        <v>205</v>
      </c>
      <c r="H50" s="6" t="s">
        <v>29</v>
      </c>
    </row>
    <row r="51" customFormat="false" ht="15.75" hidden="false" customHeight="true" outlineLevel="0" collapsed="false">
      <c r="A51" s="3" t="s">
        <v>206</v>
      </c>
      <c r="B51" s="3" t="s">
        <v>89</v>
      </c>
      <c r="C51" s="4" t="s">
        <v>130</v>
      </c>
      <c r="D51" s="3" t="s">
        <v>207</v>
      </c>
      <c r="E51" s="3" t="s">
        <v>13</v>
      </c>
      <c r="F51" s="5" t="n">
        <v>10610.83</v>
      </c>
      <c r="G51" s="3" t="s">
        <v>208</v>
      </c>
      <c r="H51" s="3" t="s">
        <v>22</v>
      </c>
    </row>
    <row r="52" customFormat="false" ht="15.75" hidden="false" customHeight="true" outlineLevel="0" collapsed="false">
      <c r="A52" s="6" t="s">
        <v>209</v>
      </c>
      <c r="B52" s="6" t="s">
        <v>36</v>
      </c>
      <c r="C52" s="7" t="s">
        <v>51</v>
      </c>
      <c r="D52" s="6" t="s">
        <v>210</v>
      </c>
      <c r="E52" s="6" t="s">
        <v>13</v>
      </c>
      <c r="F52" s="8" t="n">
        <v>23132.62</v>
      </c>
      <c r="G52" s="6" t="s">
        <v>211</v>
      </c>
      <c r="H52" s="6" t="s">
        <v>22</v>
      </c>
    </row>
  </sheetData>
  <mergeCells count="1">
    <mergeCell ref="A1:H1"/>
  </mergeCells>
  <conditionalFormatting sqref="H3:H52">
    <cfRule type="cellIs" priority="2" operator="equal" aboveAverage="0" equalAverage="0" bottom="0" percent="0" rank="0" text="" dxfId="0">
      <formula>"Matched"</formula>
    </cfRule>
    <cfRule type="cellIs" priority="3" operator="equal" aboveAverage="0" equalAverage="0" bottom="0" percent="0" rank="0" text="" dxfId="1">
      <formula>"Unmatched"</formula>
    </cfRule>
    <cfRule type="cellIs" priority="4" operator="equal" aboveAverage="0" equalAverage="0" bottom="0" percent="0" rank="0" text="" dxfId="2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212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213</v>
      </c>
      <c r="B2" s="2" t="s">
        <v>3</v>
      </c>
      <c r="C2" s="2" t="s">
        <v>4</v>
      </c>
      <c r="D2" s="2" t="s">
        <v>214</v>
      </c>
      <c r="E2" s="2" t="s">
        <v>215</v>
      </c>
      <c r="F2" s="2" t="s">
        <v>5</v>
      </c>
      <c r="G2" s="2" t="s">
        <v>216</v>
      </c>
      <c r="H2" s="2" t="s">
        <v>217</v>
      </c>
    </row>
    <row r="3" customFormat="false" ht="15.75" hidden="false" customHeight="true" outlineLevel="0" collapsed="false">
      <c r="A3" s="3" t="s">
        <v>218</v>
      </c>
      <c r="B3" s="4" t="s">
        <v>51</v>
      </c>
      <c r="C3" s="3" t="s">
        <v>219</v>
      </c>
      <c r="D3" s="5" t="n">
        <v>2890.18</v>
      </c>
      <c r="E3" s="3" t="s">
        <v>41</v>
      </c>
      <c r="F3" s="3" t="s">
        <v>20</v>
      </c>
      <c r="G3" s="3" t="s">
        <v>220</v>
      </c>
      <c r="H3" s="3" t="n">
        <v>0</v>
      </c>
    </row>
    <row r="4" customFormat="false" ht="15.75" hidden="false" customHeight="true" outlineLevel="0" collapsed="false">
      <c r="A4" s="6" t="s">
        <v>221</v>
      </c>
      <c r="B4" s="7" t="s">
        <v>222</v>
      </c>
      <c r="C4" s="6" t="s">
        <v>223</v>
      </c>
      <c r="D4" s="8" t="n">
        <v>45530.35</v>
      </c>
      <c r="E4" s="6" t="s">
        <v>46</v>
      </c>
      <c r="F4" s="6" t="s">
        <v>27</v>
      </c>
      <c r="G4" s="6" t="s">
        <v>220</v>
      </c>
      <c r="H4" s="6" t="n">
        <v>0</v>
      </c>
    </row>
    <row r="5" customFormat="false" ht="15.75" hidden="false" customHeight="true" outlineLevel="0" collapsed="false">
      <c r="A5" s="3" t="s">
        <v>224</v>
      </c>
      <c r="B5" s="4" t="s">
        <v>225</v>
      </c>
      <c r="C5" s="3" t="s">
        <v>226</v>
      </c>
      <c r="D5" s="5" t="n">
        <v>3957.84</v>
      </c>
      <c r="E5" s="3" t="s">
        <v>137</v>
      </c>
      <c r="F5" s="3" t="s">
        <v>62</v>
      </c>
      <c r="G5" s="3" t="s">
        <v>220</v>
      </c>
      <c r="H5" s="3" t="n">
        <v>0</v>
      </c>
    </row>
    <row r="6" customFormat="false" ht="15.75" hidden="false" customHeight="true" outlineLevel="0" collapsed="false">
      <c r="A6" s="6" t="s">
        <v>227</v>
      </c>
      <c r="B6" s="7" t="s">
        <v>222</v>
      </c>
      <c r="C6" s="6" t="s">
        <v>228</v>
      </c>
      <c r="D6" s="8" t="n">
        <v>47398.76</v>
      </c>
      <c r="E6" s="6" t="s">
        <v>176</v>
      </c>
      <c r="F6" s="6" t="s">
        <v>20</v>
      </c>
      <c r="G6" s="6" t="s">
        <v>229</v>
      </c>
      <c r="H6" s="6" t="n">
        <v>14</v>
      </c>
    </row>
    <row r="7" customFormat="false" ht="15.75" hidden="false" customHeight="true" outlineLevel="0" collapsed="false">
      <c r="A7" s="3" t="s">
        <v>230</v>
      </c>
      <c r="B7" s="4" t="s">
        <v>222</v>
      </c>
      <c r="C7" s="3" t="s">
        <v>231</v>
      </c>
      <c r="D7" s="5" t="n">
        <v>2954.67</v>
      </c>
      <c r="E7" s="3" t="s">
        <v>89</v>
      </c>
      <c r="F7" s="3" t="s">
        <v>27</v>
      </c>
      <c r="G7" s="3" t="s">
        <v>220</v>
      </c>
      <c r="H7" s="3" t="n">
        <v>0</v>
      </c>
    </row>
    <row r="8" customFormat="false" ht="15.75" hidden="false" customHeight="true" outlineLevel="0" collapsed="false">
      <c r="A8" s="6" t="s">
        <v>232</v>
      </c>
      <c r="B8" s="7" t="s">
        <v>94</v>
      </c>
      <c r="C8" s="6" t="s">
        <v>233</v>
      </c>
      <c r="D8" s="8" t="n">
        <v>21247.38</v>
      </c>
      <c r="E8" s="6" t="s">
        <v>80</v>
      </c>
      <c r="F8" s="6" t="s">
        <v>20</v>
      </c>
      <c r="G8" s="6" t="s">
        <v>220</v>
      </c>
      <c r="H8" s="6" t="n">
        <v>0</v>
      </c>
    </row>
    <row r="9" customFormat="false" ht="15.75" hidden="false" customHeight="true" outlineLevel="0" collapsed="false">
      <c r="A9" s="3" t="s">
        <v>234</v>
      </c>
      <c r="B9" s="4" t="s">
        <v>116</v>
      </c>
      <c r="C9" s="3" t="s">
        <v>235</v>
      </c>
      <c r="D9" s="5" t="n">
        <v>40898.25</v>
      </c>
      <c r="E9" s="3" t="s">
        <v>89</v>
      </c>
      <c r="F9" s="3" t="s">
        <v>27</v>
      </c>
      <c r="G9" s="3" t="s">
        <v>220</v>
      </c>
      <c r="H9" s="3" t="n">
        <v>0</v>
      </c>
    </row>
    <row r="10" customFormat="false" ht="15.75" hidden="false" customHeight="true" outlineLevel="0" collapsed="false">
      <c r="A10" s="6" t="s">
        <v>236</v>
      </c>
      <c r="B10" s="7" t="s">
        <v>222</v>
      </c>
      <c r="C10" s="6" t="s">
        <v>237</v>
      </c>
      <c r="D10" s="8" t="n">
        <v>9799.62</v>
      </c>
      <c r="E10" s="6" t="s">
        <v>89</v>
      </c>
      <c r="F10" s="6" t="s">
        <v>62</v>
      </c>
      <c r="G10" s="6" t="s">
        <v>220</v>
      </c>
      <c r="H10" s="6" t="n">
        <v>0</v>
      </c>
    </row>
    <row r="11" customFormat="false" ht="15.75" hidden="false" customHeight="true" outlineLevel="0" collapsed="false">
      <c r="A11" s="3" t="s">
        <v>238</v>
      </c>
      <c r="B11" s="4" t="s">
        <v>85</v>
      </c>
      <c r="C11" s="3" t="s">
        <v>239</v>
      </c>
      <c r="D11" s="5" t="n">
        <v>10694.96</v>
      </c>
      <c r="E11" s="3" t="s">
        <v>89</v>
      </c>
      <c r="F11" s="3" t="s">
        <v>20</v>
      </c>
      <c r="G11" s="3" t="s">
        <v>229</v>
      </c>
      <c r="H11" s="3" t="n">
        <v>3</v>
      </c>
    </row>
    <row r="12" customFormat="false" ht="15.75" hidden="false" customHeight="true" outlineLevel="0" collapsed="false">
      <c r="A12" s="6" t="s">
        <v>240</v>
      </c>
      <c r="B12" s="7" t="s">
        <v>151</v>
      </c>
      <c r="C12" s="6" t="s">
        <v>241</v>
      </c>
      <c r="D12" s="8" t="n">
        <v>29485.31</v>
      </c>
      <c r="E12" s="6" t="s">
        <v>120</v>
      </c>
      <c r="F12" s="6" t="s">
        <v>77</v>
      </c>
      <c r="G12" s="6" t="s">
        <v>220</v>
      </c>
      <c r="H12" s="6" t="n">
        <v>0</v>
      </c>
    </row>
    <row r="13" customFormat="false" ht="15.75" hidden="false" customHeight="true" outlineLevel="0" collapsed="false">
      <c r="A13" s="3" t="s">
        <v>242</v>
      </c>
      <c r="B13" s="4" t="s">
        <v>75</v>
      </c>
      <c r="C13" s="3" t="s">
        <v>243</v>
      </c>
      <c r="D13" s="5" t="n">
        <v>9398.45</v>
      </c>
      <c r="E13" s="3" t="s">
        <v>244</v>
      </c>
      <c r="F13" s="3" t="s">
        <v>27</v>
      </c>
      <c r="G13" s="3" t="s">
        <v>220</v>
      </c>
      <c r="H13" s="3" t="n">
        <v>0</v>
      </c>
    </row>
    <row r="14" customFormat="false" ht="15.75" hidden="false" customHeight="true" outlineLevel="0" collapsed="false">
      <c r="A14" s="6" t="s">
        <v>245</v>
      </c>
      <c r="B14" s="7" t="s">
        <v>116</v>
      </c>
      <c r="C14" s="6" t="s">
        <v>246</v>
      </c>
      <c r="D14" s="8" t="n">
        <v>25008.26</v>
      </c>
      <c r="E14" s="6" t="s">
        <v>89</v>
      </c>
      <c r="F14" s="6" t="s">
        <v>13</v>
      </c>
      <c r="G14" s="6" t="s">
        <v>220</v>
      </c>
      <c r="H14" s="6" t="n">
        <v>0</v>
      </c>
    </row>
    <row r="15" customFormat="false" ht="15.75" hidden="false" customHeight="true" outlineLevel="0" collapsed="false">
      <c r="A15" s="3" t="s">
        <v>247</v>
      </c>
      <c r="B15" s="4" t="s">
        <v>126</v>
      </c>
      <c r="C15" s="3" t="s">
        <v>248</v>
      </c>
      <c r="D15" s="5" t="n">
        <v>6344.26</v>
      </c>
      <c r="E15" s="3" t="s">
        <v>244</v>
      </c>
      <c r="F15" s="3" t="s">
        <v>77</v>
      </c>
      <c r="G15" s="3" t="s">
        <v>15</v>
      </c>
      <c r="H15" s="3" t="n">
        <v>4</v>
      </c>
    </row>
    <row r="16" customFormat="false" ht="15.75" hidden="false" customHeight="true" outlineLevel="0" collapsed="false">
      <c r="A16" s="6" t="s">
        <v>249</v>
      </c>
      <c r="B16" s="7" t="s">
        <v>151</v>
      </c>
      <c r="C16" s="6" t="s">
        <v>250</v>
      </c>
      <c r="D16" s="8" t="n">
        <v>46696.88</v>
      </c>
      <c r="E16" s="6" t="s">
        <v>120</v>
      </c>
      <c r="F16" s="6" t="s">
        <v>77</v>
      </c>
      <c r="G16" s="6" t="s">
        <v>220</v>
      </c>
      <c r="H16" s="6" t="n">
        <v>0</v>
      </c>
    </row>
    <row r="17" customFormat="false" ht="15.75" hidden="false" customHeight="true" outlineLevel="0" collapsed="false">
      <c r="A17" s="3" t="s">
        <v>251</v>
      </c>
      <c r="B17" s="4" t="s">
        <v>25</v>
      </c>
      <c r="C17" s="3" t="s">
        <v>252</v>
      </c>
      <c r="D17" s="5" t="n">
        <v>28124.75</v>
      </c>
      <c r="E17" s="3" t="s">
        <v>69</v>
      </c>
      <c r="F17" s="3" t="s">
        <v>13</v>
      </c>
      <c r="G17" s="3" t="s">
        <v>220</v>
      </c>
      <c r="H17" s="3" t="n">
        <v>0</v>
      </c>
    </row>
    <row r="18" customFormat="false" ht="15.75" hidden="false" customHeight="true" outlineLevel="0" collapsed="false">
      <c r="A18" s="6" t="s">
        <v>253</v>
      </c>
      <c r="B18" s="7" t="s">
        <v>47</v>
      </c>
      <c r="C18" s="6" t="s">
        <v>254</v>
      </c>
      <c r="D18" s="8" t="n">
        <v>25085.4</v>
      </c>
      <c r="E18" s="6" t="s">
        <v>255</v>
      </c>
      <c r="F18" s="6" t="s">
        <v>77</v>
      </c>
      <c r="G18" s="6" t="s">
        <v>220</v>
      </c>
      <c r="H18" s="6" t="n">
        <v>0</v>
      </c>
    </row>
    <row r="19" customFormat="false" ht="15.75" hidden="false" customHeight="true" outlineLevel="0" collapsed="false">
      <c r="A19" s="3" t="s">
        <v>256</v>
      </c>
      <c r="B19" s="4" t="s">
        <v>25</v>
      </c>
      <c r="C19" s="3" t="s">
        <v>257</v>
      </c>
      <c r="D19" s="5" t="n">
        <v>23967.87</v>
      </c>
      <c r="E19" s="3" t="s">
        <v>84</v>
      </c>
      <c r="F19" s="3" t="s">
        <v>62</v>
      </c>
      <c r="G19" s="3" t="s">
        <v>220</v>
      </c>
      <c r="H19" s="3" t="n">
        <v>0</v>
      </c>
    </row>
    <row r="20" customFormat="false" ht="15.75" hidden="false" customHeight="true" outlineLevel="0" collapsed="false">
      <c r="A20" s="6" t="s">
        <v>258</v>
      </c>
      <c r="B20" s="7" t="s">
        <v>32</v>
      </c>
      <c r="C20" s="6" t="s">
        <v>259</v>
      </c>
      <c r="D20" s="8" t="n">
        <v>32532.88</v>
      </c>
      <c r="E20" s="6" t="s">
        <v>74</v>
      </c>
      <c r="F20" s="6" t="s">
        <v>77</v>
      </c>
      <c r="G20" s="6" t="s">
        <v>220</v>
      </c>
      <c r="H20" s="6" t="n">
        <v>0</v>
      </c>
    </row>
    <row r="21" customFormat="false" ht="15.75" hidden="false" customHeight="true" outlineLevel="0" collapsed="false">
      <c r="A21" s="3" t="s">
        <v>260</v>
      </c>
      <c r="B21" s="4" t="s">
        <v>51</v>
      </c>
      <c r="C21" s="3" t="s">
        <v>261</v>
      </c>
      <c r="D21" s="5" t="n">
        <v>17676.76</v>
      </c>
      <c r="E21" s="3" t="s">
        <v>255</v>
      </c>
      <c r="F21" s="3" t="s">
        <v>77</v>
      </c>
      <c r="G21" s="3" t="s">
        <v>220</v>
      </c>
      <c r="H21" s="3" t="n">
        <v>0</v>
      </c>
    </row>
    <row r="22" customFormat="false" ht="15.75" hidden="false" customHeight="true" outlineLevel="0" collapsed="false">
      <c r="A22" s="6" t="s">
        <v>262</v>
      </c>
      <c r="B22" s="7" t="s">
        <v>126</v>
      </c>
      <c r="C22" s="6" t="s">
        <v>263</v>
      </c>
      <c r="D22" s="8" t="n">
        <v>24937.8</v>
      </c>
      <c r="E22" s="6" t="s">
        <v>197</v>
      </c>
      <c r="F22" s="6" t="s">
        <v>27</v>
      </c>
      <c r="G22" s="6" t="s">
        <v>220</v>
      </c>
      <c r="H22" s="6" t="n">
        <v>0</v>
      </c>
    </row>
    <row r="23" customFormat="false" ht="15.75" hidden="false" customHeight="true" outlineLevel="0" collapsed="false">
      <c r="A23" s="3" t="s">
        <v>264</v>
      </c>
      <c r="B23" s="4" t="s">
        <v>98</v>
      </c>
      <c r="C23" s="3" t="s">
        <v>265</v>
      </c>
      <c r="D23" s="5" t="n">
        <v>20195.94</v>
      </c>
      <c r="E23" s="3" t="s">
        <v>41</v>
      </c>
      <c r="F23" s="3" t="s">
        <v>77</v>
      </c>
      <c r="G23" s="3" t="s">
        <v>220</v>
      </c>
      <c r="H23" s="3" t="n">
        <v>0</v>
      </c>
    </row>
    <row r="24" customFormat="false" ht="15.75" hidden="false" customHeight="true" outlineLevel="0" collapsed="false">
      <c r="A24" s="6" t="s">
        <v>266</v>
      </c>
      <c r="B24" s="7" t="s">
        <v>65</v>
      </c>
      <c r="C24" s="6" t="s">
        <v>267</v>
      </c>
      <c r="D24" s="8" t="n">
        <v>27697.28</v>
      </c>
      <c r="E24" s="6" t="s">
        <v>197</v>
      </c>
      <c r="F24" s="6" t="s">
        <v>27</v>
      </c>
      <c r="G24" s="6" t="s">
        <v>220</v>
      </c>
      <c r="H24" s="6" t="n">
        <v>0</v>
      </c>
    </row>
    <row r="25" customFormat="false" ht="15.75" hidden="false" customHeight="true" outlineLevel="0" collapsed="false">
      <c r="A25" s="3" t="s">
        <v>268</v>
      </c>
      <c r="B25" s="4" t="s">
        <v>269</v>
      </c>
      <c r="C25" s="3" t="s">
        <v>270</v>
      </c>
      <c r="D25" s="5" t="n">
        <v>35466.64</v>
      </c>
      <c r="E25" s="3" t="s">
        <v>55</v>
      </c>
      <c r="F25" s="3" t="s">
        <v>13</v>
      </c>
      <c r="G25" s="3" t="s">
        <v>220</v>
      </c>
      <c r="H25" s="3" t="n">
        <v>0</v>
      </c>
    </row>
    <row r="26" customFormat="false" ht="15.75" hidden="false" customHeight="true" outlineLevel="0" collapsed="false">
      <c r="A26" s="6" t="s">
        <v>271</v>
      </c>
      <c r="B26" s="7" t="s">
        <v>94</v>
      </c>
      <c r="C26" s="6" t="s">
        <v>272</v>
      </c>
      <c r="D26" s="8" t="n">
        <v>9222.78</v>
      </c>
      <c r="E26" s="6" t="s">
        <v>59</v>
      </c>
      <c r="F26" s="6" t="s">
        <v>27</v>
      </c>
      <c r="G26" s="6" t="s">
        <v>15</v>
      </c>
      <c r="H26" s="6" t="n">
        <v>4</v>
      </c>
    </row>
    <row r="27" customFormat="false" ht="15.75" hidden="false" customHeight="true" outlineLevel="0" collapsed="false">
      <c r="A27" s="3" t="s">
        <v>273</v>
      </c>
      <c r="B27" s="4" t="s">
        <v>180</v>
      </c>
      <c r="C27" s="3" t="s">
        <v>274</v>
      </c>
      <c r="D27" s="5" t="n">
        <v>29661.61</v>
      </c>
      <c r="E27" s="3" t="s">
        <v>24</v>
      </c>
      <c r="F27" s="3" t="s">
        <v>13</v>
      </c>
      <c r="G27" s="3" t="s">
        <v>15</v>
      </c>
      <c r="H27" s="3" t="n">
        <v>2</v>
      </c>
    </row>
    <row r="28" customFormat="false" ht="15.75" hidden="false" customHeight="true" outlineLevel="0" collapsed="false">
      <c r="A28" s="6" t="s">
        <v>275</v>
      </c>
      <c r="B28" s="7" t="s">
        <v>94</v>
      </c>
      <c r="C28" s="6" t="s">
        <v>276</v>
      </c>
      <c r="D28" s="8" t="n">
        <v>26962.25</v>
      </c>
      <c r="E28" s="6" t="s">
        <v>24</v>
      </c>
      <c r="F28" s="6" t="s">
        <v>20</v>
      </c>
      <c r="G28" s="6" t="s">
        <v>220</v>
      </c>
      <c r="H28" s="6" t="n">
        <v>0</v>
      </c>
    </row>
    <row r="29" customFormat="false" ht="15.75" hidden="false" customHeight="true" outlineLevel="0" collapsed="false">
      <c r="A29" s="3" t="s">
        <v>277</v>
      </c>
      <c r="B29" s="4" t="s">
        <v>32</v>
      </c>
      <c r="C29" s="3" t="s">
        <v>278</v>
      </c>
      <c r="D29" s="5" t="n">
        <v>47536.09</v>
      </c>
      <c r="E29" s="3" t="s">
        <v>41</v>
      </c>
      <c r="F29" s="3" t="s">
        <v>62</v>
      </c>
      <c r="G29" s="3" t="s">
        <v>229</v>
      </c>
      <c r="H29" s="3" t="n">
        <v>11</v>
      </c>
    </row>
    <row r="30" customFormat="false" ht="15.75" hidden="false" customHeight="true" outlineLevel="0" collapsed="false">
      <c r="A30" s="6" t="s">
        <v>279</v>
      </c>
      <c r="B30" s="7" t="s">
        <v>60</v>
      </c>
      <c r="C30" s="6" t="s">
        <v>280</v>
      </c>
      <c r="D30" s="8" t="n">
        <v>39994.72</v>
      </c>
      <c r="E30" s="6" t="s">
        <v>55</v>
      </c>
      <c r="F30" s="6" t="s">
        <v>77</v>
      </c>
      <c r="G30" s="6" t="s">
        <v>220</v>
      </c>
      <c r="H30" s="6" t="n">
        <v>0</v>
      </c>
    </row>
    <row r="31" customFormat="false" ht="15.75" hidden="false" customHeight="true" outlineLevel="0" collapsed="false">
      <c r="A31" s="3" t="s">
        <v>281</v>
      </c>
      <c r="B31" s="4" t="s">
        <v>51</v>
      </c>
      <c r="C31" s="3" t="s">
        <v>282</v>
      </c>
      <c r="D31" s="5" t="n">
        <v>24335.38</v>
      </c>
      <c r="E31" s="3" t="s">
        <v>184</v>
      </c>
      <c r="F31" s="3" t="s">
        <v>77</v>
      </c>
      <c r="G31" s="3" t="s">
        <v>220</v>
      </c>
      <c r="H31" s="3" t="n">
        <v>0</v>
      </c>
    </row>
    <row r="32" customFormat="false" ht="15.75" hidden="false" customHeight="true" outlineLevel="0" collapsed="false">
      <c r="A32" s="6" t="s">
        <v>283</v>
      </c>
      <c r="B32" s="7" t="s">
        <v>25</v>
      </c>
      <c r="C32" s="6" t="s">
        <v>284</v>
      </c>
      <c r="D32" s="8" t="n">
        <v>22311.03</v>
      </c>
      <c r="E32" s="6" t="s">
        <v>31</v>
      </c>
      <c r="F32" s="6" t="s">
        <v>62</v>
      </c>
      <c r="G32" s="6" t="s">
        <v>220</v>
      </c>
      <c r="H32" s="6" t="n">
        <v>0</v>
      </c>
    </row>
    <row r="33" customFormat="false" ht="15.75" hidden="false" customHeight="true" outlineLevel="0" collapsed="false">
      <c r="A33" s="3" t="s">
        <v>285</v>
      </c>
      <c r="B33" s="4" t="s">
        <v>85</v>
      </c>
      <c r="C33" s="3" t="s">
        <v>286</v>
      </c>
      <c r="D33" s="5" t="n">
        <v>511.55</v>
      </c>
      <c r="E33" s="3" t="s">
        <v>109</v>
      </c>
      <c r="F33" s="3" t="s">
        <v>27</v>
      </c>
      <c r="G33" s="3" t="s">
        <v>220</v>
      </c>
      <c r="H33" s="3" t="n">
        <v>0</v>
      </c>
    </row>
    <row r="34" customFormat="false" ht="15.75" hidden="false" customHeight="true" outlineLevel="0" collapsed="false">
      <c r="A34" s="6" t="s">
        <v>287</v>
      </c>
      <c r="B34" s="7" t="s">
        <v>126</v>
      </c>
      <c r="C34" s="6" t="s">
        <v>288</v>
      </c>
      <c r="D34" s="8" t="n">
        <v>3980.62</v>
      </c>
      <c r="E34" s="6" t="s">
        <v>46</v>
      </c>
      <c r="F34" s="6" t="s">
        <v>27</v>
      </c>
      <c r="G34" s="6" t="s">
        <v>229</v>
      </c>
      <c r="H34" s="6" t="n">
        <v>4</v>
      </c>
    </row>
    <row r="35" customFormat="false" ht="15.75" hidden="false" customHeight="true" outlineLevel="0" collapsed="false">
      <c r="A35" s="3" t="s">
        <v>289</v>
      </c>
      <c r="B35" s="4" t="s">
        <v>105</v>
      </c>
      <c r="C35" s="3" t="s">
        <v>290</v>
      </c>
      <c r="D35" s="5" t="n">
        <v>47795.67</v>
      </c>
      <c r="E35" s="3" t="s">
        <v>41</v>
      </c>
      <c r="F35" s="3" t="s">
        <v>20</v>
      </c>
      <c r="G35" s="3" t="s">
        <v>229</v>
      </c>
      <c r="H35" s="3" t="n">
        <v>13</v>
      </c>
    </row>
    <row r="36" customFormat="false" ht="15.75" hidden="false" customHeight="true" outlineLevel="0" collapsed="false">
      <c r="A36" s="6" t="s">
        <v>291</v>
      </c>
      <c r="B36" s="7" t="s">
        <v>11</v>
      </c>
      <c r="C36" s="6" t="s">
        <v>292</v>
      </c>
      <c r="D36" s="8" t="n">
        <v>42522.38</v>
      </c>
      <c r="E36" s="6" t="s">
        <v>293</v>
      </c>
      <c r="F36" s="6" t="s">
        <v>77</v>
      </c>
      <c r="G36" s="6" t="s">
        <v>220</v>
      </c>
      <c r="H36" s="6" t="n">
        <v>0</v>
      </c>
    </row>
    <row r="37" customFormat="false" ht="15.75" hidden="false" customHeight="true" outlineLevel="0" collapsed="false">
      <c r="A37" s="3" t="s">
        <v>294</v>
      </c>
      <c r="B37" s="4" t="s">
        <v>116</v>
      </c>
      <c r="C37" s="3" t="s">
        <v>295</v>
      </c>
      <c r="D37" s="5" t="n">
        <v>7633.82</v>
      </c>
      <c r="E37" s="3" t="s">
        <v>293</v>
      </c>
      <c r="F37" s="3" t="s">
        <v>13</v>
      </c>
      <c r="G37" s="3" t="s">
        <v>220</v>
      </c>
      <c r="H37" s="3" t="n">
        <v>0</v>
      </c>
    </row>
    <row r="38" customFormat="false" ht="15.75" hidden="false" customHeight="true" outlineLevel="0" collapsed="false">
      <c r="A38" s="6" t="s">
        <v>296</v>
      </c>
      <c r="B38" s="7" t="s">
        <v>32</v>
      </c>
      <c r="C38" s="6" t="s">
        <v>297</v>
      </c>
      <c r="D38" s="8" t="n">
        <v>26058.56</v>
      </c>
      <c r="E38" s="6" t="s">
        <v>293</v>
      </c>
      <c r="F38" s="6" t="s">
        <v>27</v>
      </c>
      <c r="G38" s="6" t="s">
        <v>15</v>
      </c>
      <c r="H38" s="6" t="n">
        <v>3</v>
      </c>
    </row>
    <row r="39" customFormat="false" ht="15.75" hidden="false" customHeight="true" outlineLevel="0" collapsed="false">
      <c r="A39" s="3" t="s">
        <v>298</v>
      </c>
      <c r="B39" s="4" t="s">
        <v>32</v>
      </c>
      <c r="C39" s="3" t="s">
        <v>299</v>
      </c>
      <c r="D39" s="5" t="n">
        <v>45750.22</v>
      </c>
      <c r="E39" s="3" t="s">
        <v>41</v>
      </c>
      <c r="F39" s="3" t="s">
        <v>20</v>
      </c>
      <c r="G39" s="3" t="s">
        <v>229</v>
      </c>
      <c r="H39" s="3" t="n">
        <v>12</v>
      </c>
    </row>
    <row r="40" customFormat="false" ht="15.75" hidden="false" customHeight="true" outlineLevel="0" collapsed="false">
      <c r="A40" s="6" t="s">
        <v>300</v>
      </c>
      <c r="B40" s="7" t="s">
        <v>25</v>
      </c>
      <c r="C40" s="6" t="s">
        <v>301</v>
      </c>
      <c r="D40" s="8" t="n">
        <v>42349.66</v>
      </c>
      <c r="E40" s="6" t="s">
        <v>10</v>
      </c>
      <c r="F40" s="6" t="s">
        <v>20</v>
      </c>
      <c r="G40" s="6" t="s">
        <v>220</v>
      </c>
      <c r="H40" s="6" t="n">
        <v>0</v>
      </c>
    </row>
    <row r="41" customFormat="false" ht="15.75" hidden="false" customHeight="true" outlineLevel="0" collapsed="false">
      <c r="A41" s="3" t="s">
        <v>302</v>
      </c>
      <c r="B41" s="4" t="s">
        <v>47</v>
      </c>
      <c r="C41" s="3" t="s">
        <v>303</v>
      </c>
      <c r="D41" s="5" t="n">
        <v>11528.24</v>
      </c>
      <c r="E41" s="3" t="s">
        <v>197</v>
      </c>
      <c r="F41" s="3" t="s">
        <v>20</v>
      </c>
      <c r="G41" s="3" t="s">
        <v>220</v>
      </c>
      <c r="H41" s="3" t="n">
        <v>0</v>
      </c>
    </row>
    <row r="42" customFormat="false" ht="15.75" hidden="false" customHeight="true" outlineLevel="0" collapsed="false">
      <c r="A42" s="6" t="s">
        <v>304</v>
      </c>
      <c r="B42" s="7" t="s">
        <v>75</v>
      </c>
      <c r="C42" s="6" t="s">
        <v>305</v>
      </c>
      <c r="D42" s="8" t="n">
        <v>40669.81</v>
      </c>
      <c r="E42" s="6" t="s">
        <v>10</v>
      </c>
      <c r="F42" s="6" t="s">
        <v>27</v>
      </c>
      <c r="G42" s="6" t="s">
        <v>229</v>
      </c>
      <c r="H42" s="6" t="n">
        <v>11</v>
      </c>
    </row>
    <row r="43" customFormat="false" ht="15.75" hidden="false" customHeight="true" outlineLevel="0" collapsed="false">
      <c r="A43" s="3" t="s">
        <v>306</v>
      </c>
      <c r="B43" s="4" t="s">
        <v>51</v>
      </c>
      <c r="C43" s="3" t="s">
        <v>307</v>
      </c>
      <c r="D43" s="5" t="n">
        <v>40264.64</v>
      </c>
      <c r="E43" s="3" t="s">
        <v>84</v>
      </c>
      <c r="F43" s="3" t="s">
        <v>27</v>
      </c>
      <c r="G43" s="3" t="s">
        <v>220</v>
      </c>
      <c r="H43" s="3" t="n">
        <v>0</v>
      </c>
    </row>
    <row r="44" customFormat="false" ht="15.75" hidden="false" customHeight="true" outlineLevel="0" collapsed="false">
      <c r="A44" s="6" t="s">
        <v>308</v>
      </c>
      <c r="B44" s="7" t="s">
        <v>98</v>
      </c>
      <c r="C44" s="6" t="s">
        <v>309</v>
      </c>
      <c r="D44" s="8" t="n">
        <v>49485.38</v>
      </c>
      <c r="E44" s="6" t="s">
        <v>46</v>
      </c>
      <c r="F44" s="6" t="s">
        <v>13</v>
      </c>
      <c r="G44" s="6" t="s">
        <v>229</v>
      </c>
      <c r="H44" s="6" t="n">
        <v>16</v>
      </c>
    </row>
    <row r="45" customFormat="false" ht="15.75" hidden="false" customHeight="true" outlineLevel="0" collapsed="false">
      <c r="A45" s="3" t="s">
        <v>310</v>
      </c>
      <c r="B45" s="4" t="s">
        <v>42</v>
      </c>
      <c r="C45" s="3" t="s">
        <v>311</v>
      </c>
      <c r="D45" s="5" t="n">
        <v>30454.38</v>
      </c>
      <c r="E45" s="3" t="s">
        <v>36</v>
      </c>
      <c r="F45" s="3" t="s">
        <v>13</v>
      </c>
      <c r="G45" s="3" t="s">
        <v>220</v>
      </c>
      <c r="H45" s="3" t="n">
        <v>0</v>
      </c>
    </row>
    <row r="46" customFormat="false" ht="15.75" hidden="false" customHeight="true" outlineLevel="0" collapsed="false">
      <c r="A46" s="6" t="s">
        <v>312</v>
      </c>
      <c r="B46" s="7" t="s">
        <v>98</v>
      </c>
      <c r="C46" s="6" t="s">
        <v>313</v>
      </c>
      <c r="D46" s="8" t="n">
        <v>47772.53</v>
      </c>
      <c r="E46" s="6" t="s">
        <v>314</v>
      </c>
      <c r="F46" s="6" t="s">
        <v>13</v>
      </c>
      <c r="G46" s="6" t="s">
        <v>220</v>
      </c>
      <c r="H46" s="6" t="n">
        <v>0</v>
      </c>
    </row>
    <row r="47" customFormat="false" ht="15.75" hidden="false" customHeight="true" outlineLevel="0" collapsed="false">
      <c r="A47" s="3" t="s">
        <v>315</v>
      </c>
      <c r="B47" s="4" t="s">
        <v>11</v>
      </c>
      <c r="C47" s="3" t="s">
        <v>316</v>
      </c>
      <c r="D47" s="5" t="n">
        <v>23768.96</v>
      </c>
      <c r="E47" s="3" t="s">
        <v>59</v>
      </c>
      <c r="F47" s="3" t="s">
        <v>13</v>
      </c>
      <c r="G47" s="3" t="s">
        <v>220</v>
      </c>
      <c r="H47" s="3" t="n">
        <v>0</v>
      </c>
    </row>
  </sheetData>
  <mergeCells count="1">
    <mergeCell ref="A1:H1"/>
  </mergeCells>
  <conditionalFormatting sqref="G3:G47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"Pending"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317</v>
      </c>
      <c r="B1" s="1"/>
      <c r="C1" s="1"/>
      <c r="D1" s="1"/>
      <c r="E1" s="1"/>
      <c r="F1" s="1"/>
    </row>
    <row r="3" customFormat="false" ht="15.75" hidden="false" customHeight="true" outlineLevel="0" collapsed="false">
      <c r="A3" s="9" t="s">
        <v>318</v>
      </c>
      <c r="B3" s="9" t="s">
        <v>319</v>
      </c>
      <c r="C3" s="10" t="s">
        <v>22</v>
      </c>
      <c r="D3" s="11" t="s">
        <v>29</v>
      </c>
      <c r="E3" s="12" t="s">
        <v>15</v>
      </c>
      <c r="F3" s="9" t="s">
        <v>320</v>
      </c>
    </row>
    <row r="4" customFormat="false" ht="27.75" hidden="false" customHeight="true" outlineLevel="0" collapsed="false">
      <c r="A4" s="13" t="n">
        <f aca="false">COUNTA('Bank Transactions'!A3:A52)</f>
        <v>50</v>
      </c>
      <c r="B4" s="14" t="n">
        <f aca="false">SUM('Bank Transactions'!F3:F52)</f>
        <v>1283471.14</v>
      </c>
      <c r="C4" s="15" t="n">
        <f aca="false">COUNTIF('Bank Transactions'!H3:H52,"Matched")</f>
        <v>30</v>
      </c>
      <c r="D4" s="16" t="n">
        <f aca="false">COUNTIF('Bank Transactions'!H3:H52,"Unmatched")</f>
        <v>13</v>
      </c>
      <c r="E4" s="17" t="n">
        <f aca="false">COUNTIF('Bank Transactions'!H3:H52,"Pending")</f>
        <v>7</v>
      </c>
      <c r="F4" s="18" t="n">
        <f aca="false">IFERROR(C4/A4,0)</f>
        <v>0.6</v>
      </c>
    </row>
    <row r="6" customFormat="false" ht="19.5" hidden="false" customHeight="true" outlineLevel="0" collapsed="false">
      <c r="A6" s="2" t="s">
        <v>5</v>
      </c>
      <c r="B6" s="2" t="s">
        <v>321</v>
      </c>
      <c r="C6" s="2" t="s">
        <v>319</v>
      </c>
      <c r="D6" s="2" t="s">
        <v>22</v>
      </c>
      <c r="E6" s="2" t="s">
        <v>29</v>
      </c>
      <c r="F6" s="2" t="s">
        <v>322</v>
      </c>
    </row>
    <row r="7" customFormat="false" ht="15.75" hidden="false" customHeight="true" outlineLevel="0" collapsed="false">
      <c r="A7" s="4" t="s">
        <v>62</v>
      </c>
      <c r="B7" s="3" t="n">
        <f aca="false">COUNTIF('Bank Transactions'!E3:E52,A7)</f>
        <v>12</v>
      </c>
      <c r="C7" s="5" t="n">
        <f aca="false">SUMIF('Bank Transactions'!E3:E52,A7,'Bank Transactions'!F3:F52)</f>
        <v>365875.15</v>
      </c>
      <c r="D7" s="3" t="n">
        <f aca="false">COUNTIFS('Bank Transactions'!E3:E52,A7,'Bank Transactions'!H3:H52,"Matched")</f>
        <v>8</v>
      </c>
      <c r="E7" s="3" t="n">
        <f aca="false">COUNTIFS('Bank Transactions'!E3:E52,A7,'Bank Transactions'!H3:H52,"Unmatched")</f>
        <v>3</v>
      </c>
      <c r="F7" s="19" t="n">
        <f aca="false">IFERROR(D7/B7,0)</f>
        <v>0.666666666666667</v>
      </c>
    </row>
    <row r="8" customFormat="false" ht="15.75" hidden="false" customHeight="true" outlineLevel="0" collapsed="false">
      <c r="A8" s="7" t="s">
        <v>27</v>
      </c>
      <c r="B8" s="6" t="n">
        <f aca="false">COUNTIF('Bank Transactions'!E3:E52,A8)</f>
        <v>9</v>
      </c>
      <c r="C8" s="8" t="n">
        <f aca="false">SUMIF('Bank Transactions'!E3:E52,A8,'Bank Transactions'!F3:F52)</f>
        <v>262660.79</v>
      </c>
      <c r="D8" s="6" t="n">
        <f aca="false">COUNTIFS('Bank Transactions'!E3:E52,A8,'Bank Transactions'!H3:H52,"Matched")</f>
        <v>2</v>
      </c>
      <c r="E8" s="6" t="n">
        <f aca="false">COUNTIFS('Bank Transactions'!E3:E52,A8,'Bank Transactions'!H3:H52,"Unmatched")</f>
        <v>4</v>
      </c>
      <c r="F8" s="20" t="n">
        <f aca="false">IFERROR(D8/B8,0)</f>
        <v>0.222222222222222</v>
      </c>
    </row>
    <row r="9" customFormat="false" ht="15.75" hidden="false" customHeight="true" outlineLevel="0" collapsed="false">
      <c r="A9" s="4" t="s">
        <v>13</v>
      </c>
      <c r="B9" s="3" t="n">
        <f aca="false">COUNTIF('Bank Transactions'!E3:E52,A9)</f>
        <v>11</v>
      </c>
      <c r="C9" s="5" t="n">
        <f aca="false">SUMIF('Bank Transactions'!E3:E52,A9,'Bank Transactions'!F3:F52)</f>
        <v>292053.49</v>
      </c>
      <c r="D9" s="3" t="n">
        <f aca="false">COUNTIFS('Bank Transactions'!E3:E52,A9,'Bank Transactions'!H3:H52,"Matched")</f>
        <v>7</v>
      </c>
      <c r="E9" s="3" t="n">
        <f aca="false">COUNTIFS('Bank Transactions'!E3:E52,A9,'Bank Transactions'!H3:H52,"Unmatched")</f>
        <v>2</v>
      </c>
      <c r="F9" s="19" t="n">
        <f aca="false">IFERROR(D9/B9,0)</f>
        <v>0.636363636363636</v>
      </c>
    </row>
    <row r="10" customFormat="false" ht="15.75" hidden="false" customHeight="true" outlineLevel="0" collapsed="false">
      <c r="A10" s="7" t="s">
        <v>77</v>
      </c>
      <c r="B10" s="6" t="n">
        <f aca="false">COUNTIF('Bank Transactions'!E3:E52,A10)</f>
        <v>6</v>
      </c>
      <c r="C10" s="8" t="n">
        <f aca="false">SUMIF('Bank Transactions'!E3:E52,A10,'Bank Transactions'!F3:F52)</f>
        <v>123719.66</v>
      </c>
      <c r="D10" s="6" t="n">
        <f aca="false">COUNTIFS('Bank Transactions'!E3:E52,A10,'Bank Transactions'!H3:H52,"Matched")</f>
        <v>5</v>
      </c>
      <c r="E10" s="6" t="n">
        <f aca="false">COUNTIFS('Bank Transactions'!E3:E52,A10,'Bank Transactions'!H3:H52,"Unmatched")</f>
        <v>0</v>
      </c>
      <c r="F10" s="20" t="n">
        <f aca="false">IFERROR(D10/B10,0)</f>
        <v>0.833333333333333</v>
      </c>
    </row>
    <row r="11" customFormat="false" ht="15.75" hidden="false" customHeight="true" outlineLevel="0" collapsed="false">
      <c r="A11" s="4" t="s">
        <v>20</v>
      </c>
      <c r="B11" s="3" t="n">
        <f aca="false">COUNTIF('Bank Transactions'!E3:E52,A11)</f>
        <v>12</v>
      </c>
      <c r="C11" s="5" t="n">
        <f aca="false">SUMIF('Bank Transactions'!E3:E52,A11,'Bank Transactions'!F3:F52)</f>
        <v>239162.05</v>
      </c>
      <c r="D11" s="3" t="n">
        <f aca="false">COUNTIFS('Bank Transactions'!E3:E52,A11,'Bank Transactions'!H3:H52,"Matched")</f>
        <v>8</v>
      </c>
      <c r="E11" s="3" t="n">
        <f aca="false">COUNTIFS('Bank Transactions'!E3:E52,A11,'Bank Transactions'!H3:H52,"Unmatched")</f>
        <v>4</v>
      </c>
      <c r="F11" s="19" t="n">
        <f aca="false">IFERROR(D11/B11,0)</f>
        <v>0.666666666666667</v>
      </c>
    </row>
    <row r="12" customFormat="false" ht="18" hidden="false" customHeight="true" outlineLevel="0" collapsed="false">
      <c r="A12" s="21" t="s">
        <v>323</v>
      </c>
      <c r="B12" s="22" t="n">
        <f aca="false">SUM(B7:B11)</f>
        <v>50</v>
      </c>
      <c r="C12" s="23" t="n">
        <f aca="false">SUM(C7:C11)</f>
        <v>1283471.14</v>
      </c>
      <c r="D12" s="22" t="n">
        <f aca="false">SUM(D7:D11)</f>
        <v>30</v>
      </c>
      <c r="E12" s="22" t="n">
        <f aca="false">SUM(E7:E11)</f>
        <v>13</v>
      </c>
      <c r="F12" s="24" t="n">
        <f aca="false">IFERROR(D12/B12,0)</f>
        <v>0.6</v>
      </c>
    </row>
    <row r="14" customFormat="false" ht="19.5" hidden="false" customHeight="true" outlineLevel="0" collapsed="false">
      <c r="A14" s="25" t="s">
        <v>324</v>
      </c>
      <c r="B14" s="25"/>
      <c r="C14" s="25"/>
      <c r="D14" s="25"/>
      <c r="E14" s="25"/>
      <c r="F14" s="25"/>
    </row>
    <row r="15" customFormat="false" ht="19.5" hidden="false" customHeight="true" outlineLevel="0" collapsed="false">
      <c r="A15" s="26" t="s">
        <v>1</v>
      </c>
      <c r="B15" s="26" t="s">
        <v>3</v>
      </c>
      <c r="C15" s="26" t="s">
        <v>6</v>
      </c>
      <c r="D15" s="26" t="s">
        <v>325</v>
      </c>
      <c r="E15" s="26" t="s">
        <v>326</v>
      </c>
      <c r="F15" s="26" t="s">
        <v>327</v>
      </c>
    </row>
    <row r="16" customFormat="false" ht="15.75" hidden="false" customHeight="true" outlineLevel="0" collapsed="false">
      <c r="A16" s="27" t="s">
        <v>35</v>
      </c>
      <c r="B16" s="28" t="s">
        <v>85</v>
      </c>
      <c r="C16" s="29" t="n">
        <v>12450</v>
      </c>
      <c r="D16" s="28" t="s">
        <v>328</v>
      </c>
      <c r="E16" s="27" t="s">
        <v>329</v>
      </c>
      <c r="F16" s="27" t="s">
        <v>144</v>
      </c>
    </row>
    <row r="17" customFormat="false" ht="15.75" hidden="false" customHeight="true" outlineLevel="0" collapsed="false">
      <c r="A17" s="30" t="s">
        <v>68</v>
      </c>
      <c r="B17" s="31" t="s">
        <v>25</v>
      </c>
      <c r="C17" s="32" t="n">
        <v>8900.5</v>
      </c>
      <c r="D17" s="31" t="s">
        <v>330</v>
      </c>
      <c r="E17" s="30" t="s">
        <v>331</v>
      </c>
      <c r="F17" s="30" t="s">
        <v>184</v>
      </c>
    </row>
    <row r="18" customFormat="false" ht="15.75" hidden="false" customHeight="true" outlineLevel="0" collapsed="false">
      <c r="A18" s="27" t="s">
        <v>104</v>
      </c>
      <c r="B18" s="28" t="s">
        <v>75</v>
      </c>
      <c r="C18" s="29" t="n">
        <v>33000</v>
      </c>
      <c r="D18" s="28" t="s">
        <v>332</v>
      </c>
      <c r="E18" s="27" t="s">
        <v>329</v>
      </c>
      <c r="F18" s="27" t="s">
        <v>46</v>
      </c>
    </row>
    <row r="19" customFormat="false" ht="15.75" hidden="false" customHeight="true" outlineLevel="0" collapsed="false">
      <c r="A19" s="30" t="s">
        <v>136</v>
      </c>
      <c r="B19" s="31" t="s">
        <v>151</v>
      </c>
      <c r="C19" s="32" t="n">
        <v>6750.25</v>
      </c>
      <c r="D19" s="31" t="s">
        <v>333</v>
      </c>
      <c r="E19" s="30" t="s">
        <v>334</v>
      </c>
      <c r="F19" s="30" t="s">
        <v>93</v>
      </c>
    </row>
    <row r="20" customFormat="false" ht="15.75" hidden="false" customHeight="true" outlineLevel="0" collapsed="false">
      <c r="A20" s="27" t="s">
        <v>163</v>
      </c>
      <c r="B20" s="28" t="s">
        <v>47</v>
      </c>
      <c r="C20" s="29" t="n">
        <v>21000</v>
      </c>
      <c r="D20" s="28" t="s">
        <v>335</v>
      </c>
      <c r="E20" s="27" t="s">
        <v>331</v>
      </c>
      <c r="F20" s="27" t="s">
        <v>293</v>
      </c>
    </row>
  </sheetData>
  <mergeCells count="2">
    <mergeCell ref="A1:F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2026-04-14T05:07:55Z</dcterms:created>
  <dc:creator>openpyxl</dc:creator>
  <dc:description/>
  <dc:language>en-US</dc:language>
  <cp:lastModifiedBy/>
  <dcterms:modified xsi:type="dcterms:W3CDTF">2026-04-14T05:07:56Z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